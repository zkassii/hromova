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4C89AC-020D-4760-AFE0-1564C5D19B42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10" sheetId="1" r:id="rId1"/>
    <sheet name="20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2" l="1"/>
  <c r="J10" i="2"/>
  <c r="Q16" i="1"/>
  <c r="J9" i="2"/>
  <c r="Q10" i="1"/>
  <c r="B3" i="2"/>
  <c r="J1" i="2"/>
  <c r="B2" i="2"/>
  <c r="C2" i="1"/>
  <c r="E2" i="1" s="1"/>
  <c r="L2" i="1" s="1"/>
  <c r="B2" i="1"/>
  <c r="D2" i="1" s="1"/>
  <c r="Q1" i="1"/>
  <c r="B3" i="1" s="1"/>
  <c r="C3" i="1" l="1"/>
  <c r="E3" i="1" s="1"/>
  <c r="L3" i="1" s="1"/>
  <c r="B4" i="1"/>
  <c r="D3" i="1"/>
  <c r="N2" i="1"/>
  <c r="M2" i="1"/>
  <c r="J2" i="1"/>
  <c r="K2" i="1"/>
  <c r="C3" i="2"/>
  <c r="B4" i="2"/>
  <c r="C2" i="2"/>
  <c r="N3" i="1" l="1"/>
  <c r="K3" i="1"/>
  <c r="M3" i="1"/>
  <c r="J3" i="1"/>
  <c r="B5" i="1"/>
  <c r="C4" i="1"/>
  <c r="E4" i="1" s="1"/>
  <c r="L4" i="1" s="1"/>
  <c r="D4" i="1"/>
  <c r="B5" i="2"/>
  <c r="C4" i="2"/>
  <c r="G2" i="2"/>
  <c r="F2" i="2"/>
  <c r="G3" i="2"/>
  <c r="F3" i="2"/>
  <c r="M4" i="1" l="1"/>
  <c r="N4" i="1"/>
  <c r="J4" i="1"/>
  <c r="K4" i="1"/>
  <c r="B6" i="1"/>
  <c r="C5" i="1"/>
  <c r="E5" i="1" s="1"/>
  <c r="L5" i="1" s="1"/>
  <c r="D5" i="1"/>
  <c r="G4" i="2"/>
  <c r="F4" i="2"/>
  <c r="C5" i="2"/>
  <c r="B6" i="2"/>
  <c r="B7" i="1" l="1"/>
  <c r="C6" i="1"/>
  <c r="E6" i="1" s="1"/>
  <c r="L6" i="1" s="1"/>
  <c r="D6" i="1"/>
  <c r="K5" i="1"/>
  <c r="M5" i="1"/>
  <c r="N5" i="1"/>
  <c r="J5" i="1"/>
  <c r="B7" i="2"/>
  <c r="C6" i="2"/>
  <c r="G5" i="2"/>
  <c r="F5" i="2"/>
  <c r="B8" i="1" l="1"/>
  <c r="D7" i="1"/>
  <c r="C7" i="1"/>
  <c r="E7" i="1" s="1"/>
  <c r="L7" i="1" s="1"/>
  <c r="K6" i="1"/>
  <c r="M6" i="1"/>
  <c r="N6" i="1"/>
  <c r="J6" i="1"/>
  <c r="G6" i="2"/>
  <c r="F6" i="2"/>
  <c r="C7" i="2"/>
  <c r="B8" i="2"/>
  <c r="J7" i="1" l="1"/>
  <c r="K7" i="1"/>
  <c r="M7" i="1"/>
  <c r="N7" i="1"/>
  <c r="B9" i="1"/>
  <c r="C8" i="1"/>
  <c r="E8" i="1" s="1"/>
  <c r="L8" i="1" s="1"/>
  <c r="D8" i="1"/>
  <c r="G7" i="2"/>
  <c r="F7" i="2"/>
  <c r="B9" i="2"/>
  <c r="C8" i="2"/>
  <c r="J8" i="1" l="1"/>
  <c r="K8" i="1"/>
  <c r="M8" i="1"/>
  <c r="N8" i="1"/>
  <c r="B10" i="1"/>
  <c r="D9" i="1"/>
  <c r="C9" i="1"/>
  <c r="E9" i="1" s="1"/>
  <c r="L9" i="1" s="1"/>
  <c r="G8" i="2"/>
  <c r="F8" i="2"/>
  <c r="B10" i="2"/>
  <c r="C9" i="2"/>
  <c r="J9" i="1" l="1"/>
  <c r="K9" i="1"/>
  <c r="M9" i="1"/>
  <c r="N9" i="1"/>
  <c r="B11" i="1"/>
  <c r="D10" i="1"/>
  <c r="C10" i="1"/>
  <c r="E10" i="1" s="1"/>
  <c r="L10" i="1" s="1"/>
  <c r="B11" i="2"/>
  <c r="C10" i="2"/>
  <c r="G9" i="2"/>
  <c r="F9" i="2"/>
  <c r="J10" i="1" l="1"/>
  <c r="N10" i="1"/>
  <c r="K10" i="1"/>
  <c r="M10" i="1"/>
  <c r="B12" i="1"/>
  <c r="C11" i="1"/>
  <c r="E11" i="1" s="1"/>
  <c r="L11" i="1" s="1"/>
  <c r="D11" i="1"/>
  <c r="B12" i="2"/>
  <c r="B13" i="2" s="1"/>
  <c r="C11" i="2"/>
  <c r="G10" i="2"/>
  <c r="F10" i="2"/>
  <c r="B14" i="2" l="1"/>
  <c r="C13" i="2"/>
  <c r="J11" i="1"/>
  <c r="M11" i="1"/>
  <c r="K11" i="1"/>
  <c r="N11" i="1"/>
  <c r="C12" i="1"/>
  <c r="E12" i="1" s="1"/>
  <c r="L12" i="1" s="1"/>
  <c r="L13" i="1" s="1"/>
  <c r="L16" i="1" s="1"/>
  <c r="Q11" i="1" s="1"/>
  <c r="Q18" i="1" s="1"/>
  <c r="D12" i="1"/>
  <c r="C12" i="2"/>
  <c r="F12" i="2" s="1"/>
  <c r="G11" i="2"/>
  <c r="F11" i="2"/>
  <c r="N12" i="1" l="1"/>
  <c r="N13" i="1" s="1"/>
  <c r="N16" i="1" s="1"/>
  <c r="Q13" i="1" s="1"/>
  <c r="Q20" i="1" s="1"/>
  <c r="J12" i="1"/>
  <c r="J13" i="1" s="1"/>
  <c r="J16" i="1" s="1"/>
  <c r="Q9" i="1" s="1"/>
  <c r="K12" i="1"/>
  <c r="K13" i="1" s="1"/>
  <c r="K16" i="1" s="1"/>
  <c r="Q17" i="1" s="1"/>
  <c r="M12" i="1"/>
  <c r="M13" i="1" s="1"/>
  <c r="M16" i="1" s="1"/>
  <c r="Q12" i="1" s="1"/>
  <c r="Q19" i="1" s="1"/>
  <c r="F13" i="2"/>
  <c r="G13" i="2"/>
  <c r="B15" i="2"/>
  <c r="C14" i="2"/>
  <c r="G12" i="2"/>
  <c r="F14" i="2" l="1"/>
  <c r="G14" i="2"/>
  <c r="B16" i="2"/>
  <c r="C15" i="2"/>
  <c r="F15" i="2" l="1"/>
  <c r="G15" i="2"/>
  <c r="B17" i="2"/>
  <c r="C16" i="2"/>
  <c r="F16" i="2" l="1"/>
  <c r="G16" i="2"/>
  <c r="B18" i="2"/>
  <c r="C17" i="2"/>
  <c r="F17" i="2" l="1"/>
  <c r="G17" i="2"/>
  <c r="B19" i="2"/>
  <c r="C18" i="2"/>
  <c r="G18" i="2" l="1"/>
  <c r="F18" i="2"/>
  <c r="B20" i="2"/>
  <c r="C19" i="2"/>
  <c r="G19" i="2" l="1"/>
  <c r="F19" i="2"/>
  <c r="B21" i="2"/>
  <c r="C20" i="2"/>
  <c r="B22" i="2" l="1"/>
  <c r="C22" i="2" s="1"/>
  <c r="C21" i="2"/>
  <c r="F20" i="2"/>
  <c r="G20" i="2"/>
  <c r="F21" i="2" l="1"/>
  <c r="G21" i="2"/>
  <c r="F22" i="2"/>
  <c r="F23" i="2" s="1"/>
  <c r="F26" i="2" s="1"/>
  <c r="G22" i="2"/>
  <c r="G23" i="2" s="1"/>
  <c r="G26" i="2" s="1"/>
  <c r="J13" i="2" s="1"/>
</calcChain>
</file>

<file path=xl/sharedStrings.xml><?xml version="1.0" encoding="utf-8"?>
<sst xmlns="http://schemas.openxmlformats.org/spreadsheetml/2006/main" count="54" uniqueCount="36">
  <si>
    <t>i</t>
  </si>
  <si>
    <t>Xi</t>
  </si>
  <si>
    <t>Xiср</t>
  </si>
  <si>
    <t>Yi</t>
  </si>
  <si>
    <t>Yiср</t>
  </si>
  <si>
    <t>Ciл</t>
  </si>
  <si>
    <t>Ciпp</t>
  </si>
  <si>
    <t>Ciтр</t>
  </si>
  <si>
    <t>Ciпараб</t>
  </si>
  <si>
    <t>C*Y лев</t>
  </si>
  <si>
    <t>C*Y пр</t>
  </si>
  <si>
    <t>C*Y сред</t>
  </si>
  <si>
    <t>C*Y трап</t>
  </si>
  <si>
    <t>C*Y параб</t>
  </si>
  <si>
    <t>h=</t>
  </si>
  <si>
    <t>a=</t>
  </si>
  <si>
    <t>b=</t>
  </si>
  <si>
    <t>n=</t>
  </si>
  <si>
    <t>точное знач</t>
  </si>
  <si>
    <t>∆тр=</t>
  </si>
  <si>
    <t>∆пар=</t>
  </si>
  <si>
    <t>∆с=</t>
  </si>
  <si>
    <t>∆п=</t>
  </si>
  <si>
    <t>∆л=</t>
  </si>
  <si>
    <t>ξл=</t>
  </si>
  <si>
    <t>ξп=</t>
  </si>
  <si>
    <t>ξпар=</t>
  </si>
  <si>
    <t>ξтр=</t>
  </si>
  <si>
    <t>ξср=</t>
  </si>
  <si>
    <t>Суммы</t>
  </si>
  <si>
    <t>I лев</t>
  </si>
  <si>
    <t>I пр</t>
  </si>
  <si>
    <t>I сред</t>
  </si>
  <si>
    <t>I трап</t>
  </si>
  <si>
    <t>I параб</t>
  </si>
  <si>
    <t>ξpar=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</si>
</sst>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0000%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/>
    <xf numFmtId="0" fontId="0" fillId="0" borderId="1" xfId="0" applyBorder="1"/>
    <xf numFmtId="166" fontId="0" fillId="0" borderId="1" xfId="0" applyNumberFormat="1" applyBorder="1"/>
    <xf numFmtId="165" fontId="0" fillId="0" borderId="1" xfId="0" applyNumberFormat="1" applyBorder="1"/>
    <xf numFmtId="12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164" fontId="0" fillId="2" borderId="1" xfId="0" applyNumberFormat="1" applyFill="1" applyBorder="1"/>
    <xf numFmtId="0" fontId="1" fillId="0" borderId="1" xfId="0" applyFont="1" applyBorder="1" applyAlignment="1">
      <alignment horizontal="right"/>
    </xf>
    <xf numFmtId="167" fontId="0" fillId="0" borderId="1" xfId="0" applyNumberFormat="1" applyBorder="1"/>
    <xf numFmtId="166" fontId="0" fillId="4" borderId="1" xfId="0" applyNumberFormat="1" applyFill="1" applyBorder="1"/>
    <xf numFmtId="0" fontId="1" fillId="4" borderId="1" xfId="0" applyFont="1" applyFill="1" applyBorder="1" applyAlignment="1">
      <alignment horizontal="right"/>
    </xf>
    <xf numFmtId="164" fontId="0" fillId="4" borderId="1" xfId="0" applyNumberFormat="1" applyFill="1" applyBorder="1"/>
    <xf numFmtId="167" fontId="0" fillId="4" borderId="1" xfId="0" applyNumberFormat="1" applyFill="1" applyBorder="1"/>
    <xf numFmtId="0" fontId="0" fillId="6" borderId="1" xfId="0" applyFill="1" applyBorder="1"/>
    <xf numFmtId="164" fontId="0" fillId="5" borderId="1" xfId="0" applyNumberFormat="1" applyFill="1" applyBorder="1"/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opLeftCell="F1" workbookViewId="0">
      <selection activeCell="Q20" sqref="Q20"/>
    </sheetView>
  </sheetViews>
  <sheetFormatPr defaultRowHeight="15" x14ac:dyDescent="0.25"/>
  <cols>
    <col min="4" max="4" width="7.28515625" customWidth="1"/>
    <col min="5" max="5" width="8.140625" customWidth="1"/>
    <col min="10" max="14" width="10.5703125" bestFit="1" customWidth="1"/>
    <col min="17" max="17" width="9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3">
        <f>(Q3-Q2)/Q4</f>
        <v>0.08</v>
      </c>
    </row>
    <row r="2" spans="1:18" x14ac:dyDescent="0.25">
      <c r="A2" s="2">
        <v>0</v>
      </c>
      <c r="B2" s="3">
        <f>Q2</f>
        <v>1.2</v>
      </c>
      <c r="C2" s="3">
        <f>B2+$Q$1/2</f>
        <v>1.24</v>
      </c>
      <c r="D2" s="4">
        <f>(SQRT(2*B2^2+1.6))/(2*B2+(SQRT(0.5*B2^2+3)))</f>
        <v>0.48896581085717178</v>
      </c>
      <c r="E2" s="4">
        <f>(SQRT(2*C2^2+1.6))/(2*C2+(SQRT(0.5*C2^2+3)))</f>
        <v>0.48904205640799109</v>
      </c>
      <c r="F2" s="2">
        <v>1</v>
      </c>
      <c r="G2" s="2">
        <v>0</v>
      </c>
      <c r="H2" s="2">
        <v>0.5</v>
      </c>
      <c r="I2" s="5">
        <v>0.33333333333333331</v>
      </c>
      <c r="J2" s="3">
        <f>D2*F2</f>
        <v>0.48896581085717178</v>
      </c>
      <c r="K2" s="3">
        <f>D2*G2</f>
        <v>0</v>
      </c>
      <c r="L2" s="3">
        <f>E2*F2</f>
        <v>0.48904205640799109</v>
      </c>
      <c r="M2" s="3">
        <f>D2*H2</f>
        <v>0.24448290542858589</v>
      </c>
      <c r="N2" s="3">
        <f>D2*I2</f>
        <v>0.16298860361905726</v>
      </c>
      <c r="P2" s="1" t="s">
        <v>15</v>
      </c>
      <c r="Q2" s="2">
        <v>1.2</v>
      </c>
    </row>
    <row r="3" spans="1:18" x14ac:dyDescent="0.25">
      <c r="A3" s="2">
        <v>1</v>
      </c>
      <c r="B3" s="3">
        <f>$Q$2+Q1</f>
        <v>1.28</v>
      </c>
      <c r="C3" s="3">
        <f t="shared" ref="C3:C12" si="0">B3+$Q$1/2</f>
        <v>1.32</v>
      </c>
      <c r="D3" s="4">
        <f t="shared" ref="D3:D12" si="1">(SQRT(2*B3^2+1.6))/(2*B3+(SQRT(0.5*B3^2+3)))</f>
        <v>0.48919187337456876</v>
      </c>
      <c r="E3" s="4">
        <f t="shared" ref="E3:E12" si="2">(SQRT(2*C3^2+1.6))/(2*C3+(SQRT(0.5*C3^2+3)))</f>
        <v>0.48940471665134749</v>
      </c>
      <c r="F3" s="2">
        <v>1</v>
      </c>
      <c r="G3" s="2">
        <v>1</v>
      </c>
      <c r="H3" s="2">
        <v>1</v>
      </c>
      <c r="I3" s="5">
        <v>1.3333333333333333</v>
      </c>
      <c r="J3" s="3">
        <f t="shared" ref="J3:J12" si="3">D3*F3</f>
        <v>0.48919187337456876</v>
      </c>
      <c r="K3" s="3">
        <f t="shared" ref="K3:K12" si="4">D3*G3</f>
        <v>0.48919187337456876</v>
      </c>
      <c r="L3" s="3">
        <f t="shared" ref="L3:L12" si="5">E3*F3</f>
        <v>0.48940471665134749</v>
      </c>
      <c r="M3" s="3">
        <f t="shared" ref="M3:M12" si="6">D3*H3</f>
        <v>0.48919187337456876</v>
      </c>
      <c r="N3" s="3">
        <f t="shared" ref="N3:N12" si="7">D3*I3</f>
        <v>0.65225583116609165</v>
      </c>
      <c r="P3" s="1" t="s">
        <v>16</v>
      </c>
      <c r="Q3" s="2">
        <v>2</v>
      </c>
    </row>
    <row r="4" spans="1:18" x14ac:dyDescent="0.25">
      <c r="A4" s="2">
        <v>2</v>
      </c>
      <c r="B4" s="3">
        <f>B3+$Q$1</f>
        <v>1.36</v>
      </c>
      <c r="C4" s="3">
        <f t="shared" si="0"/>
        <v>1.4000000000000001</v>
      </c>
      <c r="D4" s="4">
        <f t="shared" si="1"/>
        <v>0.48967132011056408</v>
      </c>
      <c r="E4" s="4">
        <f t="shared" si="2"/>
        <v>0.48998354431101143</v>
      </c>
      <c r="F4" s="2">
        <v>1</v>
      </c>
      <c r="G4" s="2">
        <v>1</v>
      </c>
      <c r="H4" s="2">
        <v>1</v>
      </c>
      <c r="I4" s="5">
        <v>0.66666666666666663</v>
      </c>
      <c r="J4" s="3">
        <f t="shared" si="3"/>
        <v>0.48967132011056408</v>
      </c>
      <c r="K4" s="3">
        <f t="shared" si="4"/>
        <v>0.48967132011056408</v>
      </c>
      <c r="L4" s="3">
        <f t="shared" si="5"/>
        <v>0.48998354431101143</v>
      </c>
      <c r="M4" s="3">
        <f t="shared" si="6"/>
        <v>0.48967132011056408</v>
      </c>
      <c r="N4" s="3">
        <f t="shared" si="7"/>
        <v>0.32644754674037602</v>
      </c>
      <c r="P4" s="1" t="s">
        <v>17</v>
      </c>
      <c r="Q4" s="2">
        <v>10</v>
      </c>
    </row>
    <row r="5" spans="1:18" x14ac:dyDescent="0.25">
      <c r="A5" s="2">
        <v>3</v>
      </c>
      <c r="B5" s="3">
        <f t="shared" ref="B5:B12" si="8">B4+$Q$1</f>
        <v>1.4400000000000002</v>
      </c>
      <c r="C5" s="3">
        <f t="shared" si="0"/>
        <v>1.4800000000000002</v>
      </c>
      <c r="D5" s="4">
        <f t="shared" si="1"/>
        <v>0.49033424245715956</v>
      </c>
      <c r="E5" s="4">
        <f t="shared" si="2"/>
        <v>0.4907171424292136</v>
      </c>
      <c r="F5" s="2">
        <v>1</v>
      </c>
      <c r="G5" s="2">
        <v>1</v>
      </c>
      <c r="H5" s="2">
        <v>1</v>
      </c>
      <c r="I5" s="5">
        <v>1.3333333333333333</v>
      </c>
      <c r="J5" s="3">
        <f t="shared" si="3"/>
        <v>0.49033424245715956</v>
      </c>
      <c r="K5" s="3">
        <f t="shared" si="4"/>
        <v>0.49033424245715956</v>
      </c>
      <c r="L5" s="3">
        <f t="shared" si="5"/>
        <v>0.4907171424292136</v>
      </c>
      <c r="M5" s="3">
        <f t="shared" si="6"/>
        <v>0.49033424245715956</v>
      </c>
      <c r="N5" s="3">
        <f t="shared" si="7"/>
        <v>0.65377898994287942</v>
      </c>
    </row>
    <row r="6" spans="1:18" x14ac:dyDescent="0.25">
      <c r="A6" s="2">
        <v>4</v>
      </c>
      <c r="B6" s="3">
        <f t="shared" si="8"/>
        <v>1.5200000000000002</v>
      </c>
      <c r="C6" s="3">
        <f t="shared" si="0"/>
        <v>1.5600000000000003</v>
      </c>
      <c r="D6" s="4">
        <f t="shared" si="1"/>
        <v>0.4911267429546991</v>
      </c>
      <c r="E6" s="4">
        <f t="shared" si="2"/>
        <v>0.49155822221704876</v>
      </c>
      <c r="F6" s="2">
        <v>1</v>
      </c>
      <c r="G6" s="2">
        <v>1</v>
      </c>
      <c r="H6" s="2">
        <v>1</v>
      </c>
      <c r="I6" s="5">
        <v>0.66666666666666663</v>
      </c>
      <c r="J6" s="3">
        <f t="shared" si="3"/>
        <v>0.4911267429546991</v>
      </c>
      <c r="K6" s="3">
        <f t="shared" si="4"/>
        <v>0.4911267429546991</v>
      </c>
      <c r="L6" s="3">
        <f t="shared" si="5"/>
        <v>0.49155822221704876</v>
      </c>
      <c r="M6" s="3">
        <f t="shared" si="6"/>
        <v>0.4911267429546991</v>
      </c>
      <c r="N6" s="3">
        <f t="shared" si="7"/>
        <v>0.32741782863646607</v>
      </c>
      <c r="P6" s="17" t="s">
        <v>18</v>
      </c>
      <c r="Q6" s="17"/>
      <c r="R6" s="8">
        <v>0.39382368805779699</v>
      </c>
    </row>
    <row r="7" spans="1:18" x14ac:dyDescent="0.25">
      <c r="A7" s="2">
        <v>5</v>
      </c>
      <c r="B7" s="3">
        <f t="shared" si="8"/>
        <v>1.6000000000000003</v>
      </c>
      <c r="C7" s="3">
        <f t="shared" si="0"/>
        <v>1.6400000000000003</v>
      </c>
      <c r="D7" s="4">
        <f t="shared" si="1"/>
        <v>0.4920073573979637</v>
      </c>
      <c r="E7" s="4">
        <f t="shared" si="2"/>
        <v>0.49247045382973004</v>
      </c>
      <c r="F7" s="2">
        <v>1</v>
      </c>
      <c r="G7" s="2">
        <v>1</v>
      </c>
      <c r="H7" s="2">
        <v>1</v>
      </c>
      <c r="I7" s="5">
        <v>1.3333333333333333</v>
      </c>
      <c r="J7" s="3">
        <f t="shared" si="3"/>
        <v>0.4920073573979637</v>
      </c>
      <c r="K7" s="3">
        <f t="shared" si="4"/>
        <v>0.4920073573979637</v>
      </c>
      <c r="L7" s="3">
        <f t="shared" si="5"/>
        <v>0.49247045382973004</v>
      </c>
      <c r="M7" s="3">
        <f t="shared" si="6"/>
        <v>0.4920073573979637</v>
      </c>
      <c r="N7" s="3">
        <f t="shared" si="7"/>
        <v>0.65600980986395152</v>
      </c>
    </row>
    <row r="8" spans="1:18" x14ac:dyDescent="0.25">
      <c r="A8" s="2">
        <v>6</v>
      </c>
      <c r="B8" s="3">
        <f t="shared" si="8"/>
        <v>1.6800000000000004</v>
      </c>
      <c r="C8" s="3">
        <f t="shared" si="0"/>
        <v>1.7200000000000004</v>
      </c>
      <c r="D8" s="4">
        <f t="shared" si="1"/>
        <v>0.49294428259301282</v>
      </c>
      <c r="E8" s="4">
        <f t="shared" si="2"/>
        <v>0.49342602553673348</v>
      </c>
      <c r="F8" s="2">
        <v>1</v>
      </c>
      <c r="G8" s="2">
        <v>1</v>
      </c>
      <c r="H8" s="2">
        <v>1</v>
      </c>
      <c r="I8" s="5">
        <v>0.66666666666666663</v>
      </c>
      <c r="J8" s="3">
        <f t="shared" si="3"/>
        <v>0.49294428259301282</v>
      </c>
      <c r="K8" s="3">
        <f t="shared" si="4"/>
        <v>0.49294428259301282</v>
      </c>
      <c r="L8" s="3">
        <f t="shared" si="5"/>
        <v>0.49342602553673348</v>
      </c>
      <c r="M8" s="3">
        <f t="shared" si="6"/>
        <v>0.49294428259301282</v>
      </c>
      <c r="N8" s="3">
        <f t="shared" si="7"/>
        <v>0.32862952172867521</v>
      </c>
    </row>
    <row r="9" spans="1:18" x14ac:dyDescent="0.25">
      <c r="A9" s="2">
        <v>7</v>
      </c>
      <c r="B9" s="3">
        <f t="shared" si="8"/>
        <v>1.7600000000000005</v>
      </c>
      <c r="C9" s="3">
        <f t="shared" si="0"/>
        <v>1.8000000000000005</v>
      </c>
      <c r="D9" s="4">
        <f t="shared" si="1"/>
        <v>0.49391322682125322</v>
      </c>
      <c r="E9" s="4">
        <f t="shared" si="2"/>
        <v>0.49440375019591332</v>
      </c>
      <c r="F9" s="2">
        <v>1</v>
      </c>
      <c r="G9" s="2">
        <v>1</v>
      </c>
      <c r="H9" s="2">
        <v>1</v>
      </c>
      <c r="I9" s="5">
        <v>1.3333333333333333</v>
      </c>
      <c r="J9" s="3">
        <f t="shared" si="3"/>
        <v>0.49391322682125322</v>
      </c>
      <c r="K9" s="3">
        <f t="shared" si="4"/>
        <v>0.49391322682125322</v>
      </c>
      <c r="L9" s="3">
        <f t="shared" si="5"/>
        <v>0.49440375019591332</v>
      </c>
      <c r="M9" s="3">
        <f t="shared" si="6"/>
        <v>0.49391322682125322</v>
      </c>
      <c r="N9" s="3">
        <f t="shared" si="7"/>
        <v>0.65855096909500421</v>
      </c>
      <c r="P9" s="12" t="s">
        <v>23</v>
      </c>
      <c r="Q9" s="13">
        <f>R6-J16</f>
        <v>3.0940635420007023E-4</v>
      </c>
    </row>
    <row r="10" spans="1:18" x14ac:dyDescent="0.25">
      <c r="A10" s="2">
        <v>8</v>
      </c>
      <c r="B10" s="3">
        <f t="shared" si="8"/>
        <v>1.8400000000000005</v>
      </c>
      <c r="C10" s="3">
        <f t="shared" si="0"/>
        <v>1.8800000000000006</v>
      </c>
      <c r="D10" s="4">
        <f t="shared" si="1"/>
        <v>0.49489574131862291</v>
      </c>
      <c r="E10" s="4">
        <f t="shared" si="2"/>
        <v>0.49538759451010611</v>
      </c>
      <c r="F10" s="2">
        <v>1</v>
      </c>
      <c r="G10" s="2">
        <v>1</v>
      </c>
      <c r="H10" s="2">
        <v>1</v>
      </c>
      <c r="I10" s="5">
        <v>0.66666666666666663</v>
      </c>
      <c r="J10" s="3">
        <f t="shared" si="3"/>
        <v>0.49489574131862291</v>
      </c>
      <c r="K10" s="3">
        <f t="shared" si="4"/>
        <v>0.49489574131862291</v>
      </c>
      <c r="L10" s="3">
        <f t="shared" si="5"/>
        <v>0.49538759451010611</v>
      </c>
      <c r="M10" s="3">
        <f t="shared" si="6"/>
        <v>0.49489574131862291</v>
      </c>
      <c r="N10" s="3">
        <f t="shared" si="7"/>
        <v>0.32993049421241527</v>
      </c>
      <c r="P10" s="9" t="s">
        <v>22</v>
      </c>
      <c r="Q10" s="7">
        <f>ABS(R6-K16)</f>
        <v>3.2128134150416487E-4</v>
      </c>
    </row>
    <row r="11" spans="1:18" x14ac:dyDescent="0.25">
      <c r="A11" s="2">
        <v>9</v>
      </c>
      <c r="B11" s="3">
        <f t="shared" si="8"/>
        <v>1.9200000000000006</v>
      </c>
      <c r="C11" s="3">
        <f t="shared" si="0"/>
        <v>1.9600000000000006</v>
      </c>
      <c r="D11" s="4">
        <f t="shared" si="1"/>
        <v>0.49587792340994474</v>
      </c>
      <c r="E11" s="4">
        <f t="shared" si="2"/>
        <v>0.49636553506692455</v>
      </c>
      <c r="F11" s="2">
        <v>1</v>
      </c>
      <c r="G11" s="2">
        <v>1</v>
      </c>
      <c r="H11" s="2">
        <v>1</v>
      </c>
      <c r="I11" s="5">
        <v>1.3333333333333333</v>
      </c>
      <c r="J11" s="3">
        <f t="shared" si="3"/>
        <v>0.49587792340994474</v>
      </c>
      <c r="K11" s="3">
        <f t="shared" si="4"/>
        <v>0.49587792340994474</v>
      </c>
      <c r="L11" s="3">
        <f t="shared" si="5"/>
        <v>0.49636553506692455</v>
      </c>
      <c r="M11" s="3">
        <f t="shared" si="6"/>
        <v>0.49587792340994474</v>
      </c>
      <c r="N11" s="3">
        <f t="shared" si="7"/>
        <v>0.66117056454659295</v>
      </c>
      <c r="P11" s="12" t="s">
        <v>21</v>
      </c>
      <c r="Q11" s="13">
        <f>R6-L16</f>
        <v>2.9647653153053177E-6</v>
      </c>
    </row>
    <row r="12" spans="1:18" x14ac:dyDescent="0.25">
      <c r="A12" s="2">
        <v>10</v>
      </c>
      <c r="B12" s="3">
        <f t="shared" si="8"/>
        <v>2.0000000000000004</v>
      </c>
      <c r="C12" s="3">
        <f t="shared" si="0"/>
        <v>2.0400000000000005</v>
      </c>
      <c r="D12" s="4">
        <f t="shared" si="1"/>
        <v>0.49684940705347502</v>
      </c>
      <c r="E12" s="4">
        <f t="shared" si="2"/>
        <v>0.49732866724418034</v>
      </c>
      <c r="F12" s="2">
        <v>0</v>
      </c>
      <c r="G12" s="2">
        <v>1</v>
      </c>
      <c r="H12" s="2">
        <v>0.5</v>
      </c>
      <c r="I12" s="5">
        <v>0.33333333333333331</v>
      </c>
      <c r="J12" s="6">
        <f t="shared" si="3"/>
        <v>0</v>
      </c>
      <c r="K12" s="3">
        <f t="shared" si="4"/>
        <v>0.49684940705347502</v>
      </c>
      <c r="L12" s="3">
        <f t="shared" si="5"/>
        <v>0</v>
      </c>
      <c r="M12" s="3">
        <f t="shared" si="6"/>
        <v>0.24842470352673751</v>
      </c>
      <c r="N12" s="3">
        <f t="shared" si="7"/>
        <v>0.16561646901782501</v>
      </c>
      <c r="P12" s="9" t="s">
        <v>19</v>
      </c>
      <c r="Q12" s="7">
        <f>ABS(R6-M16)</f>
        <v>5.9374936520195654E-6</v>
      </c>
    </row>
    <row r="13" spans="1:18" x14ac:dyDescent="0.25">
      <c r="I13" s="15" t="s">
        <v>29</v>
      </c>
      <c r="J13" s="11">
        <f>SUM(J2:J12)</f>
        <v>4.9189285212949612</v>
      </c>
      <c r="K13" s="11">
        <f t="shared" ref="K13:N13" si="9">SUM(K2:K12)</f>
        <v>4.9268121174912647</v>
      </c>
      <c r="L13" s="11">
        <f t="shared" si="9"/>
        <v>4.9227590411560209</v>
      </c>
      <c r="M13" s="11">
        <f t="shared" si="9"/>
        <v>4.9228703193931125</v>
      </c>
      <c r="N13" s="11">
        <f t="shared" si="9"/>
        <v>4.9227966285693352</v>
      </c>
      <c r="P13" s="12" t="s">
        <v>20</v>
      </c>
      <c r="Q13" s="13">
        <f>ABS(R6-N16)</f>
        <v>4.2227749852408181E-8</v>
      </c>
    </row>
    <row r="15" spans="1:18" x14ac:dyDescent="0.25">
      <c r="J15" s="2" t="s">
        <v>30</v>
      </c>
      <c r="K15" s="2" t="s">
        <v>31</v>
      </c>
      <c r="L15" s="2" t="s">
        <v>32</v>
      </c>
      <c r="M15" s="2" t="s">
        <v>33</v>
      </c>
      <c r="N15" s="2" t="s">
        <v>34</v>
      </c>
    </row>
    <row r="16" spans="1:18" x14ac:dyDescent="0.25">
      <c r="J16" s="16">
        <f>J13*$Q$1</f>
        <v>0.39351428170359692</v>
      </c>
      <c r="K16" s="16">
        <f t="shared" ref="K16:N16" si="10">K13*$Q$1</f>
        <v>0.39414496939930116</v>
      </c>
      <c r="L16" s="16">
        <f t="shared" si="10"/>
        <v>0.39382072329248169</v>
      </c>
      <c r="M16" s="16">
        <f t="shared" si="10"/>
        <v>0.39382962555144901</v>
      </c>
      <c r="N16" s="16">
        <f t="shared" si="10"/>
        <v>0.39382373028554685</v>
      </c>
      <c r="P16" s="12" t="s">
        <v>24</v>
      </c>
      <c r="Q16" s="14">
        <f>Q9/$R$6</f>
        <v>7.8564688611280843E-4</v>
      </c>
    </row>
    <row r="17" spans="16:17" x14ac:dyDescent="0.25">
      <c r="P17" s="9" t="s">
        <v>25</v>
      </c>
      <c r="Q17" s="10">
        <f t="shared" ref="Q17:Q20" si="11">Q10/$R$6</f>
        <v>8.157999410564001E-4</v>
      </c>
    </row>
    <row r="18" spans="16:17" x14ac:dyDescent="0.25">
      <c r="P18" s="12" t="s">
        <v>28</v>
      </c>
      <c r="Q18" s="14">
        <f t="shared" si="11"/>
        <v>7.5281538546513564E-6</v>
      </c>
    </row>
    <row r="19" spans="16:17" x14ac:dyDescent="0.25">
      <c r="P19" s="9" t="s">
        <v>27</v>
      </c>
      <c r="Q19" s="10">
        <f t="shared" si="11"/>
        <v>1.5076527471725336E-5</v>
      </c>
    </row>
    <row r="20" spans="16:17" x14ac:dyDescent="0.25">
      <c r="P20" s="12" t="s">
        <v>26</v>
      </c>
      <c r="Q20" s="14">
        <f t="shared" si="11"/>
        <v>1.0722501244315933E-7</v>
      </c>
    </row>
  </sheetData>
  <mergeCells count="1">
    <mergeCell ref="P6:Q6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abSelected="1" topLeftCell="A2" workbookViewId="0">
      <selection activeCell="J16" sqref="J16"/>
    </sheetView>
  </sheetViews>
  <sheetFormatPr defaultRowHeight="15" x14ac:dyDescent="0.25"/>
  <cols>
    <col min="7" max="7" width="10" bestFit="1" customWidth="1"/>
    <col min="10" max="10" width="10.140625" bestFit="1" customWidth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9</v>
      </c>
      <c r="G1" s="1" t="s">
        <v>13</v>
      </c>
      <c r="I1" s="1" t="s">
        <v>14</v>
      </c>
      <c r="J1" s="3">
        <f>(J3-J2)/J4</f>
        <v>0.04</v>
      </c>
    </row>
    <row r="2" spans="1:11" x14ac:dyDescent="0.25">
      <c r="A2" s="2">
        <v>0</v>
      </c>
      <c r="B2" s="3">
        <f>J2</f>
        <v>1.2</v>
      </c>
      <c r="C2" s="4">
        <f t="shared" ref="C2:C12" si="0">(SQRT(2*B2^2+1.6))/(2*B2+(SQRT(0.5*B2^2+3)))</f>
        <v>0.48896581085717178</v>
      </c>
      <c r="D2" s="2">
        <v>1</v>
      </c>
      <c r="E2" s="5">
        <v>0.33333333333333331</v>
      </c>
      <c r="F2" s="3">
        <f t="shared" ref="F2:F11" si="1">C2*D2</f>
        <v>0.48896581085717178</v>
      </c>
      <c r="G2" s="3">
        <f t="shared" ref="G2:G12" si="2">C2*E2</f>
        <v>0.16298860361905726</v>
      </c>
      <c r="I2" s="1" t="s">
        <v>15</v>
      </c>
      <c r="J2" s="2">
        <v>1.2</v>
      </c>
    </row>
    <row r="3" spans="1:11" x14ac:dyDescent="0.25">
      <c r="A3" s="2">
        <v>1</v>
      </c>
      <c r="B3" s="3">
        <f>$J$2+J1</f>
        <v>1.24</v>
      </c>
      <c r="C3" s="4">
        <f t="shared" si="0"/>
        <v>0.48904205640799109</v>
      </c>
      <c r="D3" s="2">
        <v>1</v>
      </c>
      <c r="E3" s="5">
        <v>1.3333333333333333</v>
      </c>
      <c r="F3" s="3">
        <f t="shared" si="1"/>
        <v>0.48904205640799109</v>
      </c>
      <c r="G3" s="3">
        <f t="shared" si="2"/>
        <v>0.65205607521065478</v>
      </c>
      <c r="I3" s="1" t="s">
        <v>16</v>
      </c>
      <c r="J3" s="2">
        <v>2</v>
      </c>
    </row>
    <row r="4" spans="1:11" x14ac:dyDescent="0.25">
      <c r="A4" s="2">
        <v>2</v>
      </c>
      <c r="B4" s="3">
        <f>B3+$J$1</f>
        <v>1.28</v>
      </c>
      <c r="C4" s="4">
        <f t="shared" si="0"/>
        <v>0.48919187337456876</v>
      </c>
      <c r="D4" s="2">
        <v>1</v>
      </c>
      <c r="E4" s="5">
        <v>0.66666666666666663</v>
      </c>
      <c r="F4" s="3">
        <f t="shared" si="1"/>
        <v>0.48919187337456876</v>
      </c>
      <c r="G4" s="3">
        <f t="shared" si="2"/>
        <v>0.32612791558304582</v>
      </c>
      <c r="I4" s="1" t="s">
        <v>17</v>
      </c>
      <c r="J4" s="2">
        <v>20</v>
      </c>
    </row>
    <row r="5" spans="1:11" x14ac:dyDescent="0.25">
      <c r="A5" s="2">
        <v>3</v>
      </c>
      <c r="B5" s="3">
        <f t="shared" ref="B5:B22" si="3">B4+$J$1</f>
        <v>1.32</v>
      </c>
      <c r="C5" s="4">
        <f t="shared" si="0"/>
        <v>0.48940471665134749</v>
      </c>
      <c r="D5" s="2">
        <v>1</v>
      </c>
      <c r="E5" s="5">
        <v>1.3333333333333333</v>
      </c>
      <c r="F5" s="3">
        <f t="shared" si="1"/>
        <v>0.48940471665134749</v>
      </c>
      <c r="G5" s="3">
        <f t="shared" si="2"/>
        <v>0.65253962220179662</v>
      </c>
    </row>
    <row r="6" spans="1:11" x14ac:dyDescent="0.25">
      <c r="A6" s="2">
        <v>4</v>
      </c>
      <c r="B6" s="3">
        <f t="shared" si="3"/>
        <v>1.36</v>
      </c>
      <c r="C6" s="4">
        <f t="shared" si="0"/>
        <v>0.48967132011056408</v>
      </c>
      <c r="D6" s="2">
        <v>1</v>
      </c>
      <c r="E6" s="5">
        <v>0.66666666666666663</v>
      </c>
      <c r="F6" s="3">
        <f t="shared" si="1"/>
        <v>0.48967132011056408</v>
      </c>
      <c r="G6" s="3">
        <f t="shared" si="2"/>
        <v>0.32644754674037602</v>
      </c>
      <c r="I6" s="17" t="s">
        <v>18</v>
      </c>
      <c r="J6" s="17"/>
      <c r="K6" s="8">
        <v>0.39382368805779699</v>
      </c>
    </row>
    <row r="7" spans="1:11" x14ac:dyDescent="0.25">
      <c r="A7" s="2">
        <v>5</v>
      </c>
      <c r="B7" s="3">
        <f t="shared" si="3"/>
        <v>1.4000000000000001</v>
      </c>
      <c r="C7" s="4">
        <f t="shared" si="0"/>
        <v>0.48998354431101143</v>
      </c>
      <c r="D7" s="2">
        <v>1</v>
      </c>
      <c r="E7" s="5">
        <v>1.3333333333333333</v>
      </c>
      <c r="F7" s="3">
        <f t="shared" si="1"/>
        <v>0.48998354431101143</v>
      </c>
      <c r="G7" s="3">
        <f t="shared" si="2"/>
        <v>0.65331139241468184</v>
      </c>
    </row>
    <row r="8" spans="1:11" x14ac:dyDescent="0.25">
      <c r="A8" s="2">
        <v>6</v>
      </c>
      <c r="B8" s="3">
        <f t="shared" si="3"/>
        <v>1.4400000000000002</v>
      </c>
      <c r="C8" s="4">
        <f t="shared" si="0"/>
        <v>0.49033424245715956</v>
      </c>
      <c r="D8" s="2">
        <v>1</v>
      </c>
      <c r="E8" s="5">
        <v>0.66666666666666663</v>
      </c>
      <c r="F8" s="3">
        <f t="shared" si="1"/>
        <v>0.49033424245715956</v>
      </c>
      <c r="G8" s="3">
        <f t="shared" si="2"/>
        <v>0.32688949497143971</v>
      </c>
    </row>
    <row r="9" spans="1:11" x14ac:dyDescent="0.25">
      <c r="A9" s="2">
        <v>7</v>
      </c>
      <c r="B9" s="3">
        <f t="shared" si="3"/>
        <v>1.4800000000000002</v>
      </c>
      <c r="C9" s="4">
        <f t="shared" si="0"/>
        <v>0.4907171424292136</v>
      </c>
      <c r="D9" s="2">
        <v>1</v>
      </c>
      <c r="E9" s="5">
        <v>1.3333333333333333</v>
      </c>
      <c r="F9" s="3">
        <f t="shared" si="1"/>
        <v>0.4907171424292136</v>
      </c>
      <c r="G9" s="3">
        <f t="shared" si="2"/>
        <v>0.6542895232389514</v>
      </c>
      <c r="I9" s="2" t="s">
        <v>23</v>
      </c>
      <c r="J9" s="7">
        <f>ABS(K6-F26)</f>
        <v>1.5618555975777104E-4</v>
      </c>
    </row>
    <row r="10" spans="1:11" x14ac:dyDescent="0.25">
      <c r="A10" s="2">
        <v>8</v>
      </c>
      <c r="B10" s="3">
        <f t="shared" si="3"/>
        <v>1.5200000000000002</v>
      </c>
      <c r="C10" s="4">
        <f t="shared" si="0"/>
        <v>0.4911267429546991</v>
      </c>
      <c r="D10" s="2">
        <v>1</v>
      </c>
      <c r="E10" s="5">
        <v>0.66666666666666663</v>
      </c>
      <c r="F10" s="3">
        <f t="shared" si="1"/>
        <v>0.4911267429546991</v>
      </c>
      <c r="G10" s="3">
        <f t="shared" si="2"/>
        <v>0.32741782863646607</v>
      </c>
      <c r="I10" s="12" t="s">
        <v>24</v>
      </c>
      <c r="J10" s="10">
        <f>J9/K6</f>
        <v>3.9658751998394132E-4</v>
      </c>
    </row>
    <row r="11" spans="1:11" x14ac:dyDescent="0.25">
      <c r="A11" s="2">
        <v>9</v>
      </c>
      <c r="B11" s="3">
        <f t="shared" si="3"/>
        <v>1.5600000000000003</v>
      </c>
      <c r="C11" s="4">
        <f t="shared" si="0"/>
        <v>0.49155822221704876</v>
      </c>
      <c r="D11" s="2">
        <v>1</v>
      </c>
      <c r="E11" s="5">
        <v>1.3333333333333333</v>
      </c>
      <c r="F11" s="3">
        <f t="shared" si="1"/>
        <v>0.49155822221704876</v>
      </c>
      <c r="G11" s="3">
        <f t="shared" si="2"/>
        <v>0.65541096295606494</v>
      </c>
    </row>
    <row r="12" spans="1:11" x14ac:dyDescent="0.25">
      <c r="A12" s="2">
        <v>10</v>
      </c>
      <c r="B12" s="3">
        <f t="shared" si="3"/>
        <v>1.6000000000000003</v>
      </c>
      <c r="C12" s="4">
        <f t="shared" si="0"/>
        <v>0.4920073573979637</v>
      </c>
      <c r="D12" s="2">
        <v>1</v>
      </c>
      <c r="E12" s="5">
        <v>0.66666666666666663</v>
      </c>
      <c r="F12" s="3">
        <f t="shared" ref="F12:F22" si="4">C12*D12</f>
        <v>0.4920073573979637</v>
      </c>
      <c r="G12" s="3">
        <f t="shared" si="2"/>
        <v>0.32800490493197576</v>
      </c>
    </row>
    <row r="13" spans="1:11" x14ac:dyDescent="0.25">
      <c r="A13" s="2">
        <v>11</v>
      </c>
      <c r="B13" s="3">
        <f t="shared" si="3"/>
        <v>1.6400000000000003</v>
      </c>
      <c r="C13" s="4">
        <f t="shared" ref="C13:C22" si="5">(SQRT(2*B13^2+1.6))/(2*B13+(SQRT(0.5*B13^2+3)))</f>
        <v>0.49247045382973004</v>
      </c>
      <c r="D13" s="2">
        <v>1</v>
      </c>
      <c r="E13" s="5">
        <v>1.3333333333333333</v>
      </c>
      <c r="F13" s="3">
        <f t="shared" si="4"/>
        <v>0.49247045382973004</v>
      </c>
      <c r="G13" s="3">
        <f t="shared" ref="G13:G22" si="6">C13*E13</f>
        <v>0.65662727177297331</v>
      </c>
      <c r="I13" s="2" t="s">
        <v>20</v>
      </c>
      <c r="J13" s="7">
        <f>ABS(K6-G26)</f>
        <v>2.6543404141321503E-9</v>
      </c>
    </row>
    <row r="14" spans="1:11" x14ac:dyDescent="0.25">
      <c r="A14" s="2">
        <v>12</v>
      </c>
      <c r="B14" s="3">
        <f t="shared" si="3"/>
        <v>1.6800000000000004</v>
      </c>
      <c r="C14" s="4">
        <f t="shared" si="5"/>
        <v>0.49294428259301282</v>
      </c>
      <c r="D14" s="2">
        <v>1</v>
      </c>
      <c r="E14" s="5">
        <v>0.66666666666666663</v>
      </c>
      <c r="F14" s="3">
        <f t="shared" si="4"/>
        <v>0.49294428259301282</v>
      </c>
      <c r="G14" s="3">
        <f t="shared" si="6"/>
        <v>0.32862952172867521</v>
      </c>
      <c r="I14" s="12" t="s">
        <v>35</v>
      </c>
      <c r="J14" s="10">
        <f>J13/K6</f>
        <v>6.7399206665867264E-9</v>
      </c>
    </row>
    <row r="15" spans="1:11" x14ac:dyDescent="0.25">
      <c r="A15" s="2">
        <v>13</v>
      </c>
      <c r="B15" s="3">
        <f t="shared" si="3"/>
        <v>1.7200000000000004</v>
      </c>
      <c r="C15" s="4">
        <f t="shared" si="5"/>
        <v>0.49342602553673348</v>
      </c>
      <c r="D15" s="2">
        <v>1</v>
      </c>
      <c r="E15" s="5">
        <v>1.3333333333333333</v>
      </c>
      <c r="F15" s="3">
        <f t="shared" si="4"/>
        <v>0.49342602553673348</v>
      </c>
      <c r="G15" s="3">
        <f t="shared" si="6"/>
        <v>0.65790136738231131</v>
      </c>
    </row>
    <row r="16" spans="1:11" x14ac:dyDescent="0.25">
      <c r="A16" s="2">
        <v>14</v>
      </c>
      <c r="B16" s="3">
        <f t="shared" si="3"/>
        <v>1.7600000000000005</v>
      </c>
      <c r="C16" s="4">
        <f t="shared" si="5"/>
        <v>0.49391322682125322</v>
      </c>
      <c r="D16" s="2">
        <v>1</v>
      </c>
      <c r="E16" s="5">
        <v>0.66666666666666663</v>
      </c>
      <c r="F16" s="3">
        <f t="shared" si="4"/>
        <v>0.49391322682125322</v>
      </c>
      <c r="G16" s="3">
        <f t="shared" si="6"/>
        <v>0.32927548454750211</v>
      </c>
    </row>
    <row r="17" spans="1:7" x14ac:dyDescent="0.25">
      <c r="A17" s="2">
        <v>15</v>
      </c>
      <c r="B17" s="3">
        <f t="shared" si="3"/>
        <v>1.8000000000000005</v>
      </c>
      <c r="C17" s="4">
        <f t="shared" si="5"/>
        <v>0.49440375019591332</v>
      </c>
      <c r="D17" s="2">
        <v>1</v>
      </c>
      <c r="E17" s="5">
        <v>1.3333333333333333</v>
      </c>
      <c r="F17" s="3">
        <f t="shared" si="4"/>
        <v>0.49440375019591332</v>
      </c>
      <c r="G17" s="3">
        <f t="shared" si="6"/>
        <v>0.65920500026121776</v>
      </c>
    </row>
    <row r="18" spans="1:7" x14ac:dyDescent="0.25">
      <c r="A18" s="2">
        <v>16</v>
      </c>
      <c r="B18" s="3">
        <f t="shared" si="3"/>
        <v>1.8400000000000005</v>
      </c>
      <c r="C18" s="4">
        <f t="shared" si="5"/>
        <v>0.49489574131862291</v>
      </c>
      <c r="D18" s="2">
        <v>1</v>
      </c>
      <c r="E18" s="5">
        <v>0.66666666666666663</v>
      </c>
      <c r="F18" s="3">
        <f t="shared" si="4"/>
        <v>0.49489574131862291</v>
      </c>
      <c r="G18" s="3">
        <f t="shared" si="6"/>
        <v>0.32993049421241527</v>
      </c>
    </row>
    <row r="19" spans="1:7" x14ac:dyDescent="0.25">
      <c r="A19" s="2">
        <v>17</v>
      </c>
      <c r="B19" s="3">
        <f t="shared" si="3"/>
        <v>1.8800000000000006</v>
      </c>
      <c r="C19" s="4">
        <f t="shared" si="5"/>
        <v>0.49538759451010611</v>
      </c>
      <c r="D19" s="2">
        <v>1</v>
      </c>
      <c r="E19" s="5">
        <v>1.3333333333333333</v>
      </c>
      <c r="F19" s="3">
        <f t="shared" si="4"/>
        <v>0.49538759451010611</v>
      </c>
      <c r="G19" s="3">
        <f t="shared" si="6"/>
        <v>0.66051679268014141</v>
      </c>
    </row>
    <row r="20" spans="1:7" x14ac:dyDescent="0.25">
      <c r="A20" s="2">
        <v>18</v>
      </c>
      <c r="B20" s="3">
        <f t="shared" si="3"/>
        <v>1.9200000000000006</v>
      </c>
      <c r="C20" s="4">
        <f t="shared" si="5"/>
        <v>0.49587792340994474</v>
      </c>
      <c r="D20" s="2">
        <v>1</v>
      </c>
      <c r="E20" s="5">
        <v>0.66666666666666663</v>
      </c>
      <c r="F20" s="3">
        <f t="shared" si="4"/>
        <v>0.49587792340994474</v>
      </c>
      <c r="G20" s="3">
        <f t="shared" si="6"/>
        <v>0.33058528227329648</v>
      </c>
    </row>
    <row r="21" spans="1:7" x14ac:dyDescent="0.25">
      <c r="A21" s="2">
        <v>19</v>
      </c>
      <c r="B21" s="3">
        <f t="shared" si="3"/>
        <v>1.9600000000000006</v>
      </c>
      <c r="C21" s="4">
        <f t="shared" si="5"/>
        <v>0.49636553506692455</v>
      </c>
      <c r="D21" s="2">
        <v>1</v>
      </c>
      <c r="E21" s="5">
        <v>1.3333333333333333</v>
      </c>
      <c r="F21" s="3">
        <f t="shared" si="4"/>
        <v>0.49636553506692455</v>
      </c>
      <c r="G21" s="3">
        <f t="shared" si="6"/>
        <v>0.66182071342256599</v>
      </c>
    </row>
    <row r="22" spans="1:7" x14ac:dyDescent="0.25">
      <c r="A22" s="2">
        <v>20</v>
      </c>
      <c r="B22" s="3">
        <f t="shared" si="3"/>
        <v>2.0000000000000004</v>
      </c>
      <c r="C22" s="4">
        <f t="shared" si="5"/>
        <v>0.49684940705347502</v>
      </c>
      <c r="D22" s="2">
        <v>0</v>
      </c>
      <c r="E22" s="5">
        <v>0.33333333333333331</v>
      </c>
      <c r="F22" s="3">
        <f t="shared" si="4"/>
        <v>0</v>
      </c>
      <c r="G22" s="3">
        <f t="shared" si="6"/>
        <v>0.16561646901782501</v>
      </c>
    </row>
    <row r="23" spans="1:7" x14ac:dyDescent="0.25">
      <c r="E23" s="15" t="s">
        <v>29</v>
      </c>
      <c r="F23" s="11">
        <f>SUM(F2:F22)</f>
        <v>9.8416875624509803</v>
      </c>
      <c r="G23" s="11">
        <f>SUM(G2:G22)</f>
        <v>9.8455922678034344</v>
      </c>
    </row>
    <row r="25" spans="1:7" x14ac:dyDescent="0.25">
      <c r="F25" s="2" t="s">
        <v>30</v>
      </c>
      <c r="G25" s="2" t="s">
        <v>34</v>
      </c>
    </row>
    <row r="26" spans="1:7" x14ac:dyDescent="0.25">
      <c r="F26" s="16">
        <f>F23*$J$1</f>
        <v>0.39366750249803922</v>
      </c>
      <c r="G26" s="16">
        <f>G23*$J$1</f>
        <v>0.39382369071213741</v>
      </c>
    </row>
  </sheetData>
  <mergeCells count="1">
    <mergeCell ref="I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41" sqref="A4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10</vt:lpstr>
      <vt:lpstr>20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Davudova Daria</cp:lastModifiedBy>
  <dcterms:created xsi:type="dcterms:W3CDTF">2025-11-17T07:52:02Z</dcterms:created>
  <dcterms:modified xsi:type="dcterms:W3CDTF">2025-11-30T23:10:23Z</dcterms:modified>
</cp:coreProperties>
</file>