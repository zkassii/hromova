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c4e3e1dd0a3b7ff/Документы/"/>
    </mc:Choice>
  </mc:AlternateContent>
  <xr:revisionPtr revIDLastSave="1" documentId="8_{CAE333DB-3EEA-4244-A756-31E13C9BCD01}" xr6:coauthVersionLast="47" xr6:coauthVersionMax="47" xr10:uidLastSave="{6E24F3C7-BC2B-4B74-A569-AE90A035127C}"/>
  <bookViews>
    <workbookView xWindow="14775" yWindow="1260" windowWidth="21600" windowHeight="11295" activeTab="1" xr2:uid="{CE6161B6-CB98-4D3A-8141-DE7BCF13F373}"/>
  </bookViews>
  <sheets>
    <sheet name="Деление пополам" sheetId="1" r:id="rId1"/>
    <sheet name="Метод итераций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2" l="1"/>
  <c r="B3" i="2" s="1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D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I5" i="1"/>
  <c r="I4" i="1"/>
  <c r="H4" i="1"/>
  <c r="G4" i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6" i="1"/>
  <c r="A5" i="1"/>
  <c r="E4" i="1"/>
  <c r="F4" i="1" s="1"/>
  <c r="C4" i="2" l="1"/>
  <c r="B4" i="2" s="1"/>
  <c r="E3" i="2"/>
  <c r="F3" i="2" s="1"/>
  <c r="C5" i="1"/>
  <c r="B5" i="1"/>
  <c r="G5" i="1" s="1"/>
  <c r="E4" i="2" l="1"/>
  <c r="C5" i="2"/>
  <c r="B5" i="2" s="1"/>
  <c r="F4" i="2"/>
  <c r="D5" i="1"/>
  <c r="E5" i="1"/>
  <c r="F5" i="1" s="1"/>
  <c r="E5" i="2" l="1"/>
  <c r="F5" i="2" s="1"/>
  <c r="C6" i="2"/>
  <c r="C6" i="1"/>
  <c r="B6" i="1"/>
  <c r="G6" i="1" s="1"/>
  <c r="B6" i="2" l="1"/>
  <c r="D6" i="1"/>
  <c r="I6" i="1" s="1"/>
  <c r="E6" i="1"/>
  <c r="F6" i="1" s="1"/>
  <c r="C7" i="2" l="1"/>
  <c r="B7" i="2" s="1"/>
  <c r="E6" i="2"/>
  <c r="F6" i="2" s="1"/>
  <c r="C7" i="1"/>
  <c r="B7" i="1"/>
  <c r="G7" i="1" s="1"/>
  <c r="E7" i="2" l="1"/>
  <c r="C8" i="2"/>
  <c r="B8" i="2"/>
  <c r="F7" i="2"/>
  <c r="D7" i="1"/>
  <c r="I7" i="1" s="1"/>
  <c r="E7" i="1"/>
  <c r="F7" i="1" s="1"/>
  <c r="C9" i="2" l="1"/>
  <c r="B9" i="2"/>
  <c r="E8" i="2"/>
  <c r="F8" i="2" s="1"/>
  <c r="C8" i="1"/>
  <c r="B8" i="1"/>
  <c r="G8" i="1" s="1"/>
  <c r="E9" i="2" l="1"/>
  <c r="C10" i="2"/>
  <c r="B10" i="2" s="1"/>
  <c r="F9" i="2"/>
  <c r="D8" i="1"/>
  <c r="I8" i="1" s="1"/>
  <c r="E8" i="1"/>
  <c r="F8" i="1" s="1"/>
  <c r="C11" i="2" l="1"/>
  <c r="B11" i="2"/>
  <c r="E10" i="2"/>
  <c r="F10" i="2"/>
  <c r="C9" i="1"/>
  <c r="B9" i="1"/>
  <c r="G9" i="1" s="1"/>
  <c r="C12" i="2" l="1"/>
  <c r="B12" i="2" s="1"/>
  <c r="E11" i="2"/>
  <c r="F11" i="2" s="1"/>
  <c r="D9" i="1"/>
  <c r="I9" i="1" s="1"/>
  <c r="E9" i="1"/>
  <c r="F9" i="1" s="1"/>
  <c r="E12" i="2" l="1"/>
  <c r="F12" i="2" s="1"/>
  <c r="C13" i="2"/>
  <c r="B13" i="2" s="1"/>
  <c r="C14" i="2" l="1"/>
  <c r="E13" i="2"/>
  <c r="F13" i="2" s="1"/>
  <c r="B14" i="2"/>
  <c r="E14" i="2" s="1"/>
  <c r="C10" i="1"/>
  <c r="B10" i="1"/>
  <c r="G10" i="1" s="1"/>
  <c r="D10" i="1"/>
  <c r="I10" i="1" s="1"/>
  <c r="E10" i="1"/>
  <c r="F10" i="1" s="1"/>
  <c r="F14" i="2" l="1"/>
  <c r="C11" i="1"/>
  <c r="B11" i="1"/>
  <c r="G11" i="1" s="1"/>
  <c r="D11" i="1" l="1"/>
  <c r="I11" i="1" s="1"/>
  <c r="E11" i="1"/>
  <c r="F11" i="1" s="1"/>
  <c r="C12" i="1" l="1"/>
  <c r="B12" i="1"/>
  <c r="G12" i="1" s="1"/>
  <c r="D12" i="1" l="1"/>
  <c r="I12" i="1" s="1"/>
  <c r="E12" i="1"/>
  <c r="F12" i="1" s="1"/>
  <c r="C13" i="1" l="1"/>
  <c r="B13" i="1"/>
  <c r="G13" i="1" s="1"/>
  <c r="D13" i="1" l="1"/>
  <c r="I13" i="1" s="1"/>
  <c r="E13" i="1"/>
  <c r="F13" i="1" s="1"/>
  <c r="C14" i="1" l="1"/>
  <c r="B14" i="1"/>
  <c r="G14" i="1" s="1"/>
  <c r="E14" i="1" l="1"/>
  <c r="F14" i="1" s="1"/>
  <c r="D14" i="1"/>
  <c r="I14" i="1" s="1"/>
  <c r="C15" i="1" l="1"/>
  <c r="B15" i="1" l="1"/>
  <c r="G15" i="1" s="1"/>
  <c r="E15" i="1"/>
  <c r="F15" i="1" s="1"/>
  <c r="D15" i="1"/>
  <c r="I15" i="1" s="1"/>
  <c r="C16" i="1" l="1"/>
  <c r="B16" i="1"/>
  <c r="G16" i="1" s="1"/>
  <c r="D16" i="1" l="1"/>
  <c r="I16" i="1" s="1"/>
  <c r="E16" i="1"/>
  <c r="F16" i="1" s="1"/>
  <c r="C17" i="1" l="1"/>
  <c r="B17" i="1"/>
  <c r="D17" i="1" l="1"/>
  <c r="I17" i="1" s="1"/>
  <c r="G17" i="1"/>
  <c r="E17" i="1"/>
  <c r="F17" i="1" s="1"/>
  <c r="C18" i="1"/>
  <c r="B18" i="1" l="1"/>
  <c r="G18" i="1" s="1"/>
  <c r="D18" i="1"/>
  <c r="I18" i="1" s="1"/>
  <c r="E18" i="1"/>
  <c r="F18" i="1" s="1"/>
</calcChain>
</file>

<file path=xl/sharedStrings.xml><?xml version="1.0" encoding="utf-8"?>
<sst xmlns="http://schemas.openxmlformats.org/spreadsheetml/2006/main" count="18" uniqueCount="16">
  <si>
    <t>Точность</t>
  </si>
  <si>
    <t>Е=</t>
  </si>
  <si>
    <t>№</t>
  </si>
  <si>
    <t>a</t>
  </si>
  <si>
    <t>b</t>
  </si>
  <si>
    <t>x</t>
  </si>
  <si>
    <t>b-a</t>
  </si>
  <si>
    <t>условие</t>
  </si>
  <si>
    <t>f(a)</t>
  </si>
  <si>
    <t>f(b)</t>
  </si>
  <si>
    <t>f(x)</t>
  </si>
  <si>
    <t>k</t>
  </si>
  <si>
    <t>M</t>
  </si>
  <si>
    <t>Погрешность</t>
  </si>
  <si>
    <t>УСЛОВИЕ</t>
  </si>
  <si>
    <t>e=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</si>
</sst>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1" x14ac:knownFonts="1">
    <font>
      <sz val="11"/>
      <color theme="1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2DCDB"/>
        <bgColor rgb="FFEBF1DE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EBF1DE"/>
      </patternFill>
    </fill>
    <fill>
      <patternFill patternType="solid">
        <fgColor rgb="FFE6B9B8"/>
        <bgColor rgb="FFFF99CC"/>
      </patternFill>
    </fill>
    <fill>
      <patternFill patternType="solid">
        <fgColor rgb="FFEBF1DE"/>
        <bgColor rgb="FFF2DCDB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0" xfId="0" applyFill="1"/>
    <xf numFmtId="0" fontId="0" fillId="2" borderId="0" xfId="0" applyFill="1" applyAlignment="1">
      <alignment horizontal="right"/>
    </xf>
    <xf numFmtId="0" fontId="0" fillId="2" borderId="0" xfId="0" applyFill="1" applyAlignment="1">
      <alignment horizontal="left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164" fontId="0" fillId="4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165" fontId="0" fillId="0" borderId="1" xfId="0" applyNumberFormat="1" applyBorder="1" applyAlignment="1">
      <alignment horizontal="center"/>
    </xf>
    <xf numFmtId="165" fontId="0" fillId="0" borderId="1" xfId="0" applyNumberFormat="1" applyBorder="1"/>
    <xf numFmtId="165" fontId="0" fillId="5" borderId="1" xfId="0" applyNumberFormat="1" applyFill="1" applyBorder="1" applyAlignment="1">
      <alignment horizontal="center"/>
    </xf>
    <xf numFmtId="165" fontId="0" fillId="6" borderId="1" xfId="0" applyNumberForma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547D5-8F1C-4E3D-BA7B-8E8072A63A9E}">
  <dimension ref="A1:I18"/>
  <sheetViews>
    <sheetView workbookViewId="0">
      <selection activeCell="D11" sqref="D11"/>
    </sheetView>
  </sheetViews>
  <sheetFormatPr defaultRowHeight="15" x14ac:dyDescent="0.25"/>
  <sheetData>
    <row r="1" spans="1:9" x14ac:dyDescent="0.25">
      <c r="A1" s="1" t="s">
        <v>0</v>
      </c>
      <c r="B1" s="2" t="s">
        <v>1</v>
      </c>
      <c r="C1" s="3">
        <v>0.01</v>
      </c>
    </row>
    <row r="3" spans="1:9" x14ac:dyDescent="0.25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</row>
    <row r="4" spans="1:9" x14ac:dyDescent="0.25">
      <c r="A4" s="4">
        <v>0</v>
      </c>
      <c r="B4" s="5">
        <v>0</v>
      </c>
      <c r="C4" s="5">
        <v>1</v>
      </c>
      <c r="D4" s="5">
        <f>(B4+C4)/2</f>
        <v>0.5</v>
      </c>
      <c r="E4" s="5">
        <f t="shared" ref="E4:E18" si="0">C4-B4</f>
        <v>1</v>
      </c>
      <c r="F4" s="5" t="str">
        <f t="shared" ref="F4:F18" si="1">IF(E4&lt;$C$1,"корень","---")</f>
        <v>---</v>
      </c>
      <c r="G4" s="5">
        <f>(B4^3)+(3*(B4^2))-2</f>
        <v>-2</v>
      </c>
      <c r="H4" s="5">
        <f>(C4^3)+(3*(C4^2))-2</f>
        <v>2</v>
      </c>
      <c r="I4" s="5">
        <f>(D4^3)+(3*(D4^2))-2</f>
        <v>-1.125</v>
      </c>
    </row>
    <row r="5" spans="1:9" x14ac:dyDescent="0.25">
      <c r="A5" s="4">
        <f t="shared" ref="A5:A18" si="2">A4+1</f>
        <v>1</v>
      </c>
      <c r="B5" s="5">
        <f t="shared" ref="B5:B18" si="3">IF(G4*I4&lt;0,B4,D4)</f>
        <v>0.5</v>
      </c>
      <c r="C5" s="5">
        <f t="shared" ref="C5:C18" si="4">IF(G4*I4&lt;0,D4,C4)</f>
        <v>1</v>
      </c>
      <c r="D5" s="5">
        <f t="shared" ref="D4:D18" si="5">(B5+C5)/2</f>
        <v>0.75</v>
      </c>
      <c r="E5" s="5">
        <f t="shared" si="0"/>
        <v>0.5</v>
      </c>
      <c r="F5" s="5" t="str">
        <f t="shared" si="1"/>
        <v>---</v>
      </c>
      <c r="G5" s="5">
        <f t="shared" ref="G5:G18" si="6">(B5^3)+(3*(B5^2))-2</f>
        <v>-1.125</v>
      </c>
      <c r="H5" s="5">
        <f t="shared" ref="H5:H18" si="7">(C5^3)+(3*(C5^2))-2</f>
        <v>2</v>
      </c>
      <c r="I5" s="5">
        <f t="shared" ref="I5:I18" si="8">(D5^3)+(3*(D5^2))-2</f>
        <v>0.109375</v>
      </c>
    </row>
    <row r="6" spans="1:9" x14ac:dyDescent="0.25">
      <c r="A6" s="4">
        <f t="shared" si="2"/>
        <v>2</v>
      </c>
      <c r="B6" s="5">
        <f t="shared" si="3"/>
        <v>0.5</v>
      </c>
      <c r="C6" s="5">
        <f t="shared" si="4"/>
        <v>0.75</v>
      </c>
      <c r="D6" s="5">
        <f t="shared" si="5"/>
        <v>0.625</v>
      </c>
      <c r="E6" s="5">
        <f t="shared" si="0"/>
        <v>0.25</v>
      </c>
      <c r="F6" s="5" t="str">
        <f t="shared" si="1"/>
        <v>---</v>
      </c>
      <c r="G6" s="5">
        <f t="shared" si="6"/>
        <v>-1.125</v>
      </c>
      <c r="H6" s="5">
        <f t="shared" si="7"/>
        <v>0.109375</v>
      </c>
      <c r="I6" s="5">
        <f t="shared" si="8"/>
        <v>-0.583984375</v>
      </c>
    </row>
    <row r="7" spans="1:9" x14ac:dyDescent="0.25">
      <c r="A7" s="4">
        <f t="shared" si="2"/>
        <v>3</v>
      </c>
      <c r="B7" s="5">
        <f t="shared" si="3"/>
        <v>0.625</v>
      </c>
      <c r="C7" s="5">
        <f t="shared" si="4"/>
        <v>0.75</v>
      </c>
      <c r="D7" s="5">
        <f t="shared" si="5"/>
        <v>0.6875</v>
      </c>
      <c r="E7" s="5">
        <f t="shared" si="0"/>
        <v>0.125</v>
      </c>
      <c r="F7" s="5" t="str">
        <f t="shared" si="1"/>
        <v>---</v>
      </c>
      <c r="G7" s="5">
        <f t="shared" si="6"/>
        <v>-0.583984375</v>
      </c>
      <c r="H7" s="5">
        <f t="shared" si="7"/>
        <v>0.109375</v>
      </c>
      <c r="I7" s="5">
        <f t="shared" si="8"/>
        <v>-0.257080078125</v>
      </c>
    </row>
    <row r="8" spans="1:9" x14ac:dyDescent="0.25">
      <c r="A8" s="4">
        <f t="shared" si="2"/>
        <v>4</v>
      </c>
      <c r="B8" s="5">
        <f t="shared" si="3"/>
        <v>0.6875</v>
      </c>
      <c r="C8" s="5">
        <f t="shared" si="4"/>
        <v>0.75</v>
      </c>
      <c r="D8" s="5">
        <f t="shared" si="5"/>
        <v>0.71875</v>
      </c>
      <c r="E8" s="5">
        <f t="shared" si="0"/>
        <v>6.25E-2</v>
      </c>
      <c r="F8" s="5" t="str">
        <f t="shared" si="1"/>
        <v>---</v>
      </c>
      <c r="G8" s="5">
        <f t="shared" si="6"/>
        <v>-0.257080078125</v>
      </c>
      <c r="H8" s="5">
        <f t="shared" si="7"/>
        <v>0.109375</v>
      </c>
      <c r="I8" s="5">
        <f t="shared" si="8"/>
        <v>-7.8887939453125E-2</v>
      </c>
    </row>
    <row r="9" spans="1:9" x14ac:dyDescent="0.25">
      <c r="A9" s="4">
        <f t="shared" si="2"/>
        <v>5</v>
      </c>
      <c r="B9" s="5">
        <f t="shared" si="3"/>
        <v>0.71875</v>
      </c>
      <c r="C9" s="5">
        <f t="shared" si="4"/>
        <v>0.75</v>
      </c>
      <c r="D9" s="5">
        <f t="shared" si="5"/>
        <v>0.734375</v>
      </c>
      <c r="E9" s="5">
        <f t="shared" si="0"/>
        <v>3.125E-2</v>
      </c>
      <c r="F9" s="5" t="str">
        <f t="shared" si="1"/>
        <v>---</v>
      </c>
      <c r="G9" s="5">
        <f t="shared" si="6"/>
        <v>-7.8887939453125E-2</v>
      </c>
      <c r="H9" s="5">
        <f t="shared" si="7"/>
        <v>0.109375</v>
      </c>
      <c r="I9" s="5">
        <f t="shared" si="8"/>
        <v>1.3973236083984375E-2</v>
      </c>
    </row>
    <row r="10" spans="1:9" x14ac:dyDescent="0.25">
      <c r="A10" s="4">
        <f t="shared" si="2"/>
        <v>6</v>
      </c>
      <c r="B10" s="5">
        <f t="shared" si="3"/>
        <v>0.71875</v>
      </c>
      <c r="C10" s="5">
        <f t="shared" si="4"/>
        <v>0.734375</v>
      </c>
      <c r="D10" s="5">
        <f t="shared" si="5"/>
        <v>0.7265625</v>
      </c>
      <c r="E10" s="5">
        <f t="shared" si="0"/>
        <v>1.5625E-2</v>
      </c>
      <c r="F10" s="5" t="str">
        <f t="shared" si="1"/>
        <v>---</v>
      </c>
      <c r="G10" s="5">
        <f t="shared" si="6"/>
        <v>-7.8887939453125E-2</v>
      </c>
      <c r="H10" s="5">
        <f t="shared" si="7"/>
        <v>1.3973236083984375E-2</v>
      </c>
      <c r="I10" s="5">
        <f t="shared" si="8"/>
        <v>-3.2773494720458984E-2</v>
      </c>
    </row>
    <row r="11" spans="1:9" x14ac:dyDescent="0.25">
      <c r="A11" s="4">
        <f t="shared" si="2"/>
        <v>7</v>
      </c>
      <c r="B11" s="5">
        <f t="shared" si="3"/>
        <v>0.7265625</v>
      </c>
      <c r="C11" s="5">
        <f t="shared" si="4"/>
        <v>0.734375</v>
      </c>
      <c r="D11" s="6">
        <f t="shared" si="5"/>
        <v>0.73046875</v>
      </c>
      <c r="E11" s="5">
        <f t="shared" si="0"/>
        <v>7.8125E-3</v>
      </c>
      <c r="F11" s="5" t="str">
        <f>IF(E11&lt;$C$1,"корень","---")</f>
        <v>корень</v>
      </c>
      <c r="G11" s="5">
        <f t="shared" si="6"/>
        <v>-3.2773494720458984E-2</v>
      </c>
      <c r="H11" s="5">
        <f t="shared" si="7"/>
        <v>1.3973236083984375E-2</v>
      </c>
      <c r="I11" s="5">
        <f t="shared" si="8"/>
        <v>-9.4793438911437988E-3</v>
      </c>
    </row>
    <row r="12" spans="1:9" x14ac:dyDescent="0.25">
      <c r="A12" s="4">
        <f t="shared" si="2"/>
        <v>8</v>
      </c>
      <c r="B12" s="5">
        <f t="shared" si="3"/>
        <v>0.73046875</v>
      </c>
      <c r="C12" s="5">
        <f t="shared" si="4"/>
        <v>0.734375</v>
      </c>
      <c r="D12" s="7">
        <f t="shared" si="5"/>
        <v>0.732421875</v>
      </c>
      <c r="E12" s="5">
        <f t="shared" si="0"/>
        <v>3.90625E-3</v>
      </c>
      <c r="F12" s="5" t="str">
        <f t="shared" si="1"/>
        <v>корень</v>
      </c>
      <c r="G12" s="5">
        <f t="shared" si="6"/>
        <v>-9.4793438911437988E-3</v>
      </c>
      <c r="H12" s="5">
        <f t="shared" si="7"/>
        <v>1.3973236083984375E-2</v>
      </c>
      <c r="I12" s="5">
        <f t="shared" si="8"/>
        <v>2.2271201014518738E-3</v>
      </c>
    </row>
    <row r="13" spans="1:9" x14ac:dyDescent="0.25">
      <c r="A13" s="4">
        <f t="shared" si="2"/>
        <v>9</v>
      </c>
      <c r="B13" s="5">
        <f t="shared" si="3"/>
        <v>0.73046875</v>
      </c>
      <c r="C13" s="5">
        <f t="shared" si="4"/>
        <v>0.732421875</v>
      </c>
      <c r="D13" s="7">
        <f t="shared" si="5"/>
        <v>0.7314453125</v>
      </c>
      <c r="E13" s="5">
        <f t="shared" si="0"/>
        <v>1.953125E-3</v>
      </c>
      <c r="F13" s="5" t="str">
        <f t="shared" si="1"/>
        <v>корень</v>
      </c>
      <c r="G13" s="5">
        <f t="shared" si="6"/>
        <v>-9.4793438911437988E-3</v>
      </c>
      <c r="H13" s="5">
        <f t="shared" si="7"/>
        <v>2.2271201014518738E-3</v>
      </c>
      <c r="I13" s="5">
        <f t="shared" si="8"/>
        <v>-3.6310655996203423E-3</v>
      </c>
    </row>
    <row r="14" spans="1:9" x14ac:dyDescent="0.25">
      <c r="A14" s="4">
        <f t="shared" si="2"/>
        <v>10</v>
      </c>
      <c r="B14" s="5">
        <f t="shared" si="3"/>
        <v>0.7314453125</v>
      </c>
      <c r="C14" s="5">
        <f t="shared" si="4"/>
        <v>0.732421875</v>
      </c>
      <c r="D14" s="7">
        <f t="shared" si="5"/>
        <v>0.73193359375</v>
      </c>
      <c r="E14" s="5">
        <f t="shared" si="0"/>
        <v>9.765625E-4</v>
      </c>
      <c r="F14" s="5" t="str">
        <f t="shared" si="1"/>
        <v>корень</v>
      </c>
      <c r="G14" s="5">
        <f t="shared" si="6"/>
        <v>-3.6310655996203423E-3</v>
      </c>
      <c r="H14" s="5">
        <f t="shared" si="7"/>
        <v>2.2271201014518738E-3</v>
      </c>
      <c r="I14" s="5">
        <f t="shared" si="8"/>
        <v>-7.0321152452379465E-4</v>
      </c>
    </row>
    <row r="15" spans="1:9" x14ac:dyDescent="0.25">
      <c r="A15" s="4">
        <f t="shared" si="2"/>
        <v>11</v>
      </c>
      <c r="B15" s="5">
        <f t="shared" si="3"/>
        <v>0.73193359375</v>
      </c>
      <c r="C15" s="5">
        <f t="shared" si="4"/>
        <v>0.732421875</v>
      </c>
      <c r="D15" s="7">
        <f t="shared" si="5"/>
        <v>0.732177734375</v>
      </c>
      <c r="E15" s="5">
        <f t="shared" si="0"/>
        <v>4.8828125E-4</v>
      </c>
      <c r="F15" s="5" t="str">
        <f t="shared" si="1"/>
        <v>корень</v>
      </c>
      <c r="G15" s="5">
        <f t="shared" si="6"/>
        <v>-7.0321152452379465E-4</v>
      </c>
      <c r="H15" s="5">
        <f t="shared" si="7"/>
        <v>2.2271201014518738E-3</v>
      </c>
      <c r="I15" s="5">
        <f t="shared" si="8"/>
        <v>7.6164455094840378E-4</v>
      </c>
    </row>
    <row r="16" spans="1:9" x14ac:dyDescent="0.25">
      <c r="A16" s="4">
        <f t="shared" si="2"/>
        <v>12</v>
      </c>
      <c r="B16" s="5">
        <f t="shared" si="3"/>
        <v>0.73193359375</v>
      </c>
      <c r="C16" s="5">
        <f t="shared" si="4"/>
        <v>0.732177734375</v>
      </c>
      <c r="D16" s="7">
        <f t="shared" si="5"/>
        <v>0.7320556640625</v>
      </c>
      <c r="E16" s="5">
        <f t="shared" si="0"/>
        <v>2.44140625E-4</v>
      </c>
      <c r="F16" s="5" t="str">
        <f t="shared" si="1"/>
        <v>корень</v>
      </c>
      <c r="G16" s="5">
        <f t="shared" si="6"/>
        <v>-7.0321152452379465E-4</v>
      </c>
      <c r="H16" s="5">
        <f t="shared" si="7"/>
        <v>7.6164455094840378E-4</v>
      </c>
      <c r="I16" s="5">
        <f t="shared" si="8"/>
        <v>2.9139084290363826E-5</v>
      </c>
    </row>
    <row r="17" spans="1:9" x14ac:dyDescent="0.25">
      <c r="A17" s="4">
        <f t="shared" si="2"/>
        <v>13</v>
      </c>
      <c r="B17" s="5">
        <f t="shared" si="3"/>
        <v>0.73193359375</v>
      </c>
      <c r="C17" s="5">
        <f t="shared" si="4"/>
        <v>0.7320556640625</v>
      </c>
      <c r="D17" s="7">
        <f t="shared" si="5"/>
        <v>0.73199462890625</v>
      </c>
      <c r="E17" s="5">
        <f t="shared" si="0"/>
        <v>1.220703125E-4</v>
      </c>
      <c r="F17" s="5" t="str">
        <f t="shared" si="1"/>
        <v>корень</v>
      </c>
      <c r="G17" s="5">
        <f t="shared" si="6"/>
        <v>-7.0321152452379465E-4</v>
      </c>
      <c r="H17" s="5">
        <f t="shared" si="7"/>
        <v>2.9139084290363826E-5</v>
      </c>
      <c r="I17" s="5">
        <f t="shared" si="8"/>
        <v>-3.3705557666507957E-4</v>
      </c>
    </row>
    <row r="18" spans="1:9" x14ac:dyDescent="0.25">
      <c r="A18" s="4">
        <f t="shared" si="2"/>
        <v>14</v>
      </c>
      <c r="B18" s="5">
        <f t="shared" si="3"/>
        <v>0.73199462890625</v>
      </c>
      <c r="C18" s="5">
        <f t="shared" si="4"/>
        <v>0.7320556640625</v>
      </c>
      <c r="D18" s="5">
        <f t="shared" si="5"/>
        <v>0.732025146484375</v>
      </c>
      <c r="E18" s="5">
        <f t="shared" si="0"/>
        <v>6.103515625E-5</v>
      </c>
      <c r="F18" s="5" t="str">
        <f t="shared" si="1"/>
        <v>корень</v>
      </c>
      <c r="G18" s="5">
        <f t="shared" si="6"/>
        <v>-3.3705557666507957E-4</v>
      </c>
      <c r="H18" s="5">
        <f t="shared" si="7"/>
        <v>2.9139084290363826E-5</v>
      </c>
      <c r="I18" s="5">
        <f t="shared" si="8"/>
        <v>-1.5396308540971404E-4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47AFC-BFEB-4EA6-AFCF-B296DA96B50B}">
  <dimension ref="A1:H14"/>
  <sheetViews>
    <sheetView tabSelected="1" workbookViewId="0">
      <selection activeCell="G15" sqref="G15"/>
    </sheetView>
  </sheetViews>
  <sheetFormatPr defaultRowHeight="15" x14ac:dyDescent="0.25"/>
  <sheetData>
    <row r="1" spans="1:8" x14ac:dyDescent="0.25">
      <c r="A1" s="8" t="s">
        <v>11</v>
      </c>
      <c r="B1" s="9" t="s">
        <v>5</v>
      </c>
      <c r="C1" s="9" t="s">
        <v>10</v>
      </c>
      <c r="D1" s="9" t="s">
        <v>12</v>
      </c>
      <c r="E1" s="9" t="s">
        <v>13</v>
      </c>
      <c r="F1" s="9"/>
    </row>
    <row r="2" spans="1:8" x14ac:dyDescent="0.25">
      <c r="A2" s="8">
        <v>0</v>
      </c>
      <c r="B2" s="9">
        <v>1</v>
      </c>
      <c r="C2" s="9"/>
      <c r="D2" s="9">
        <v>5</v>
      </c>
      <c r="E2" s="9"/>
      <c r="F2" s="4" t="s">
        <v>14</v>
      </c>
      <c r="G2" s="10" t="s">
        <v>15</v>
      </c>
      <c r="H2" s="11">
        <v>1E-3</v>
      </c>
    </row>
    <row r="3" spans="1:8" x14ac:dyDescent="0.25">
      <c r="A3" s="8">
        <f t="shared" ref="A3:A14" si="0">A2+1</f>
        <v>1</v>
      </c>
      <c r="B3" s="12">
        <f t="shared" ref="B3:B14" si="1">B2-C3/$D$2</f>
        <v>0.556343634308191</v>
      </c>
      <c r="C3" s="12">
        <f>(2-B2)*EXP(B2)-0.5</f>
        <v>2.2182818284590451</v>
      </c>
      <c r="D3" s="13"/>
      <c r="E3" s="12">
        <f t="shared" ref="E3:E14" si="2">ABS(B3-B2)</f>
        <v>0.443656365691809</v>
      </c>
      <c r="F3" s="4" t="str">
        <f t="shared" ref="F3:F14" si="3">IF(AND(C3&lt;$H$2,E3&lt;$H$2)," выполнено","---")</f>
        <v>---</v>
      </c>
    </row>
    <row r="4" spans="1:8" x14ac:dyDescent="0.25">
      <c r="A4" s="8">
        <f t="shared" si="0"/>
        <v>2</v>
      </c>
      <c r="B4" s="12">
        <f t="shared" si="1"/>
        <v>0.66234873311200271</v>
      </c>
      <c r="C4" s="12">
        <f t="shared" ref="C4:C14" si="4">B3+LN(B3)-0.5</f>
        <v>-0.53002549401905841</v>
      </c>
      <c r="D4" s="13"/>
      <c r="E4" s="12">
        <f t="shared" si="2"/>
        <v>0.1060050988038117</v>
      </c>
      <c r="F4" s="4" t="str">
        <f t="shared" si="3"/>
        <v>---</v>
      </c>
    </row>
    <row r="5" spans="1:8" x14ac:dyDescent="0.25">
      <c r="A5" s="8">
        <f t="shared" si="0"/>
        <v>3</v>
      </c>
      <c r="B5" s="12">
        <f t="shared" si="1"/>
        <v>0.71227160140370882</v>
      </c>
      <c r="C5" s="12">
        <f t="shared" si="4"/>
        <v>-0.24961434145853051</v>
      </c>
      <c r="D5" s="13"/>
      <c r="E5" s="12">
        <f t="shared" si="2"/>
        <v>4.9922868291706113E-2</v>
      </c>
      <c r="F5" s="4" t="str">
        <f t="shared" si="3"/>
        <v>---</v>
      </c>
    </row>
    <row r="6" spans="1:8" x14ac:dyDescent="0.25">
      <c r="A6" s="8">
        <f t="shared" si="0"/>
        <v>4</v>
      </c>
      <c r="B6" s="12">
        <f t="shared" si="1"/>
        <v>0.73767647665554315</v>
      </c>
      <c r="C6" s="12">
        <f t="shared" si="4"/>
        <v>-0.12702437625917162</v>
      </c>
      <c r="D6" s="13"/>
      <c r="E6" s="12">
        <f t="shared" si="2"/>
        <v>2.5404875251834325E-2</v>
      </c>
      <c r="F6" s="4" t="str">
        <f t="shared" si="3"/>
        <v>---</v>
      </c>
    </row>
    <row r="7" spans="1:8" x14ac:dyDescent="0.25">
      <c r="A7" s="8">
        <f t="shared" si="0"/>
        <v>5</v>
      </c>
      <c r="B7" s="12">
        <f t="shared" si="1"/>
        <v>0.75099116712706282</v>
      </c>
      <c r="C7" s="12">
        <f t="shared" si="4"/>
        <v>-6.6573452357598206E-2</v>
      </c>
      <c r="D7" s="13"/>
      <c r="E7" s="12">
        <f t="shared" si="2"/>
        <v>1.3314690471519675E-2</v>
      </c>
      <c r="F7" s="4" t="str">
        <f t="shared" si="3"/>
        <v>---</v>
      </c>
    </row>
    <row r="8" spans="1:8" x14ac:dyDescent="0.25">
      <c r="A8" s="8">
        <f t="shared" si="0"/>
        <v>6</v>
      </c>
      <c r="B8" s="12">
        <f t="shared" si="1"/>
        <v>0.75806521145547212</v>
      </c>
      <c r="C8" s="12">
        <f t="shared" si="4"/>
        <v>-3.5370221642046562E-2</v>
      </c>
      <c r="D8" s="13"/>
      <c r="E8" s="12">
        <f t="shared" si="2"/>
        <v>7.0740443284093013E-3</v>
      </c>
      <c r="F8" s="4" t="str">
        <f t="shared" si="3"/>
        <v>---</v>
      </c>
    </row>
    <row r="9" spans="1:8" x14ac:dyDescent="0.25">
      <c r="A9" s="8">
        <f t="shared" si="0"/>
        <v>7</v>
      </c>
      <c r="B9" s="12">
        <f t="shared" si="1"/>
        <v>0.76184934238364177</v>
      </c>
      <c r="C9" s="12">
        <f t="shared" si="4"/>
        <v>-1.8920654640848078E-2</v>
      </c>
      <c r="D9" s="13"/>
      <c r="E9" s="12">
        <f t="shared" si="2"/>
        <v>3.7841309281696489E-3</v>
      </c>
      <c r="F9" s="4" t="str">
        <f t="shared" si="3"/>
        <v>---</v>
      </c>
    </row>
    <row r="10" spans="1:8" x14ac:dyDescent="0.25">
      <c r="A10" s="8">
        <f t="shared" si="0"/>
        <v>8</v>
      </c>
      <c r="B10" s="12">
        <f t="shared" si="1"/>
        <v>0.76388076515704495</v>
      </c>
      <c r="C10" s="12">
        <f t="shared" si="4"/>
        <v>-1.0157113867015621E-2</v>
      </c>
      <c r="D10" s="13"/>
      <c r="E10" s="12">
        <f t="shared" si="2"/>
        <v>2.0314227734031798E-3</v>
      </c>
      <c r="F10" s="4" t="str">
        <f t="shared" si="3"/>
        <v>---</v>
      </c>
    </row>
    <row r="11" spans="1:8" x14ac:dyDescent="0.25">
      <c r="A11" s="8">
        <f t="shared" si="0"/>
        <v>9</v>
      </c>
      <c r="B11" s="12">
        <f t="shared" si="1"/>
        <v>0.76497332583436362</v>
      </c>
      <c r="C11" s="12">
        <f t="shared" si="4"/>
        <v>-5.4628033865931069E-3</v>
      </c>
      <c r="D11" s="13"/>
      <c r="E11" s="12">
        <f t="shared" si="2"/>
        <v>1.0925606773186658E-3</v>
      </c>
      <c r="F11" s="4" t="str">
        <f t="shared" si="3"/>
        <v>---</v>
      </c>
    </row>
    <row r="12" spans="1:8" x14ac:dyDescent="0.25">
      <c r="A12" s="8">
        <f t="shared" si="0"/>
        <v>10</v>
      </c>
      <c r="B12" s="12">
        <f t="shared" si="1"/>
        <v>0.76556152345826789</v>
      </c>
      <c r="C12" s="12">
        <f t="shared" si="4"/>
        <v>-2.940988119521426E-3</v>
      </c>
      <c r="D12" s="13"/>
      <c r="E12" s="12">
        <f t="shared" si="2"/>
        <v>5.881976239042741E-4</v>
      </c>
      <c r="F12" s="4" t="str">
        <f t="shared" si="3"/>
        <v xml:space="preserve"> выполнено</v>
      </c>
    </row>
    <row r="13" spans="1:8" x14ac:dyDescent="0.25">
      <c r="A13" s="8">
        <f t="shared" si="0"/>
        <v>11</v>
      </c>
      <c r="B13" s="12">
        <f t="shared" si="1"/>
        <v>0.7658783581310652</v>
      </c>
      <c r="C13" s="12">
        <f t="shared" si="4"/>
        <v>-1.5841733639867517E-3</v>
      </c>
      <c r="D13" s="13"/>
      <c r="E13" s="12">
        <f t="shared" si="2"/>
        <v>3.1683467279730593E-4</v>
      </c>
      <c r="F13" s="4" t="str">
        <f t="shared" si="3"/>
        <v xml:space="preserve"> выполнено</v>
      </c>
    </row>
    <row r="14" spans="1:8" x14ac:dyDescent="0.25">
      <c r="A14" s="8">
        <f t="shared" si="0"/>
        <v>12</v>
      </c>
      <c r="B14" s="14">
        <f t="shared" si="1"/>
        <v>0.76604907115431187</v>
      </c>
      <c r="C14" s="12">
        <f t="shared" si="4"/>
        <v>-8.5356511623346787E-4</v>
      </c>
      <c r="D14" s="13"/>
      <c r="E14" s="15">
        <f t="shared" si="2"/>
        <v>1.7071302324667137E-4</v>
      </c>
      <c r="F14" s="4" t="str">
        <f t="shared" si="3"/>
        <v xml:space="preserve"> выполнено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Деление пополам</vt:lpstr>
      <vt:lpstr>Метод итераций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Davudova Daria</dc:creator>
  <cp:lastModifiedBy>Davudova Daria</cp:lastModifiedBy>
  <dcterms:created xsi:type="dcterms:W3CDTF">2025-12-05T23:24:12Z</dcterms:created>
  <dcterms:modified xsi:type="dcterms:W3CDTF">2025-12-06T00:21:06Z</dcterms:modified>
</cp:coreProperties>
</file>