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819DAEF-BDDA-4A05-9DB1-C2315AAC6D07}" xr6:coauthVersionLast="47" xr6:coauthVersionMax="47" xr10:uidLastSave="{00000000-0000-0000-0000-000000000000}"/>
  <bookViews>
    <workbookView xWindow="2025" yWindow="2280" windowWidth="21600" windowHeight="11295" activeTab="1" xr2:uid="{00000000-000D-0000-FFFF-FFFF00000000}"/>
  </bookViews>
  <sheets>
    <sheet name="Лагранж" sheetId="1" r:id="rId1"/>
    <sheet name="Ньютон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D5" i="2"/>
  <c r="D4" i="2"/>
  <c r="D3" i="2"/>
  <c r="E3" i="2" s="1"/>
  <c r="D2" i="2"/>
  <c r="E2" i="2" s="1"/>
  <c r="E4" i="2" l="1"/>
  <c r="F3" i="2" s="1"/>
  <c r="F2" i="2"/>
  <c r="C3" i="1" l="1"/>
  <c r="B3" i="1"/>
  <c r="B6" i="1"/>
  <c r="C6" i="1"/>
  <c r="D6" i="1"/>
  <c r="E6" i="1"/>
  <c r="E5" i="1"/>
  <c r="D5" i="1"/>
  <c r="C5" i="1"/>
  <c r="B5" i="1"/>
  <c r="E4" i="1"/>
  <c r="D4" i="1"/>
  <c r="C4" i="1"/>
  <c r="B4" i="1"/>
  <c r="E3" i="1"/>
  <c r="D3" i="1"/>
  <c r="F3" i="1" l="1"/>
  <c r="H3" i="1" s="1"/>
  <c r="F6" i="1"/>
  <c r="H6" i="1" s="1"/>
  <c r="F5" i="1"/>
  <c r="H5" i="1" s="1"/>
  <c r="F4" i="1"/>
  <c r="H4" i="1" s="1"/>
  <c r="F7" i="1"/>
  <c r="H7" i="1" l="1"/>
  <c r="C8" i="1" s="1"/>
</calcChain>
</file>

<file path=xl/sharedStrings.xml><?xml version="1.0" encoding="utf-8"?>
<sst xmlns="http://schemas.openxmlformats.org/spreadsheetml/2006/main" count="22" uniqueCount="18">
  <si>
    <t>x=</t>
  </si>
  <si>
    <t>x0</t>
  </si>
  <si>
    <t>x1</t>
  </si>
  <si>
    <t>x2</t>
  </si>
  <si>
    <t>x3</t>
  </si>
  <si>
    <t>Pi</t>
  </si>
  <si>
    <t>yi</t>
  </si>
  <si>
    <t>yi/Pi</t>
  </si>
  <si>
    <t>P=</t>
  </si>
  <si>
    <t>S=</t>
  </si>
  <si>
    <t>f(1,36)=</t>
  </si>
  <si>
    <t>№</t>
  </si>
  <si>
    <t>x</t>
  </si>
  <si>
    <t>y</t>
  </si>
  <si>
    <t>Δy</t>
  </si>
  <si>
    <t>Δ2y</t>
  </si>
  <si>
    <t>Δ3y</t>
  </si>
  <si>
    <t>Δ4y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</si>
</sst>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9" fontId="2" fillId="0" borderId="0" applyFont="0" applyFill="0" applyBorder="0" applyAlignment="0" applyProtection="0"/>
  </cellStyleXfs>
  <cellXfs count="32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/>
    <xf numFmtId="0" fontId="0" fillId="0" borderId="1" xfId="0" applyBorder="1"/>
    <xf numFmtId="0" fontId="0" fillId="5" borderId="3" xfId="0" applyFill="1" applyBorder="1" applyAlignment="1">
      <alignment horizontal="center" vertical="center"/>
    </xf>
    <xf numFmtId="2" fontId="0" fillId="6" borderId="4" xfId="0" applyNumberFormat="1" applyFill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6" borderId="7" xfId="0" applyNumberFormat="1" applyFill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0" xfId="0" applyFill="1" applyAlignment="1">
      <alignment horizontal="center" vertical="center"/>
    </xf>
    <xf numFmtId="164" fontId="1" fillId="7" borderId="7" xfId="0" applyNumberFormat="1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</cellXfs>
  <cellStyles count="3">
    <cellStyle name="Обычный" xfId="0" builtinId="0"/>
    <cellStyle name="Обычный 2" xfId="1" xr:uid="{5FFF804B-5E9B-4E3A-AB63-25AC1D7A0ABE}"/>
    <cellStyle name="Процентный 2" xfId="2" xr:uid="{E52F7822-CEE0-4DFE-A8AB-DB99332F015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zoomScaleNormal="100" workbookViewId="0">
      <selection activeCell="F18" sqref="F18"/>
    </sheetView>
  </sheetViews>
  <sheetFormatPr defaultRowHeight="15" x14ac:dyDescent="0.25"/>
  <sheetData>
    <row r="1" spans="1:8" x14ac:dyDescent="0.25">
      <c r="A1" s="1">
        <v>1.36</v>
      </c>
      <c r="B1" s="2">
        <v>-3</v>
      </c>
      <c r="C1" s="2">
        <v>-1</v>
      </c>
      <c r="D1" s="2">
        <v>3</v>
      </c>
      <c r="E1" s="2">
        <v>5</v>
      </c>
    </row>
    <row r="2" spans="1:8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6" t="s">
        <v>6</v>
      </c>
      <c r="H2" s="6" t="s">
        <v>7</v>
      </c>
    </row>
    <row r="3" spans="1:8" ht="15.75" thickBot="1" x14ac:dyDescent="0.3">
      <c r="A3" s="7" t="s">
        <v>1</v>
      </c>
      <c r="B3" s="8">
        <f>1.36+3</f>
        <v>4.3600000000000003</v>
      </c>
      <c r="C3" s="9">
        <f>-3+1</f>
        <v>-2</v>
      </c>
      <c r="D3" s="10">
        <f>-3-3</f>
        <v>-6</v>
      </c>
      <c r="E3" s="10">
        <f>-3-5</f>
        <v>-8</v>
      </c>
      <c r="F3" s="11">
        <f>B3*C3*D3*E3</f>
        <v>-418.56000000000006</v>
      </c>
      <c r="G3" s="12">
        <v>7</v>
      </c>
      <c r="H3" s="11">
        <f>G3/F3</f>
        <v>-1.6724006116207949E-2</v>
      </c>
    </row>
    <row r="4" spans="1:8" ht="16.5" thickTop="1" thickBot="1" x14ac:dyDescent="0.3">
      <c r="A4" s="13" t="s">
        <v>2</v>
      </c>
      <c r="B4" s="14">
        <f>-1+3</f>
        <v>2</v>
      </c>
      <c r="C4" s="15">
        <f>1.36+1</f>
        <v>2.3600000000000003</v>
      </c>
      <c r="D4" s="16">
        <f>-1-3</f>
        <v>-4</v>
      </c>
      <c r="E4" s="17">
        <f>-1-5</f>
        <v>-6</v>
      </c>
      <c r="F4" s="11">
        <f t="shared" ref="F4:F6" si="0">B4*C4*D4*E4</f>
        <v>113.28000000000002</v>
      </c>
      <c r="G4" s="12">
        <v>-1</v>
      </c>
      <c r="H4" s="11">
        <f t="shared" ref="H4:H6" si="1">G4/F4</f>
        <v>-8.8276836158192075E-3</v>
      </c>
    </row>
    <row r="5" spans="1:8" ht="16.5" thickTop="1" thickBot="1" x14ac:dyDescent="0.3">
      <c r="A5" s="13" t="s">
        <v>3</v>
      </c>
      <c r="B5" s="17">
        <f>3+3</f>
        <v>6</v>
      </c>
      <c r="C5" s="14">
        <f>3+1</f>
        <v>4</v>
      </c>
      <c r="D5" s="15">
        <f>1.36-3</f>
        <v>-1.64</v>
      </c>
      <c r="E5" s="16">
        <f>3-5</f>
        <v>-2</v>
      </c>
      <c r="F5" s="11">
        <f t="shared" si="0"/>
        <v>78.72</v>
      </c>
      <c r="G5" s="12">
        <v>4</v>
      </c>
      <c r="H5" s="11">
        <f t="shared" si="1"/>
        <v>5.08130081300813E-2</v>
      </c>
    </row>
    <row r="6" spans="1:8" ht="16.5" thickTop="1" thickBot="1" x14ac:dyDescent="0.3">
      <c r="A6" s="13" t="s">
        <v>4</v>
      </c>
      <c r="B6" s="17">
        <f>5+3</f>
        <v>8</v>
      </c>
      <c r="C6" s="17">
        <f>5+1</f>
        <v>6</v>
      </c>
      <c r="D6" s="14">
        <f>5-3</f>
        <v>2</v>
      </c>
      <c r="E6" s="15">
        <f>1.36-5</f>
        <v>-3.6399999999999997</v>
      </c>
      <c r="F6" s="18">
        <f t="shared" si="0"/>
        <v>-349.43999999999994</v>
      </c>
      <c r="G6" s="12">
        <v>-6</v>
      </c>
      <c r="H6" s="11">
        <f t="shared" si="1"/>
        <v>1.7170329670329672E-2</v>
      </c>
    </row>
    <row r="7" spans="1:8" ht="16.5" thickTop="1" thickBot="1" x14ac:dyDescent="0.3">
      <c r="A7" s="19"/>
      <c r="B7" s="19"/>
      <c r="C7" s="19"/>
      <c r="D7" s="19"/>
      <c r="E7" s="20" t="s">
        <v>8</v>
      </c>
      <c r="F7" s="21">
        <f>B3*C4*D5*E6</f>
        <v>61.424796160000007</v>
      </c>
      <c r="G7" s="22" t="s">
        <v>9</v>
      </c>
      <c r="H7" s="23">
        <f>SUM(H3:H6)</f>
        <v>4.2431648068383815E-2</v>
      </c>
    </row>
    <row r="8" spans="1:8" ht="15.75" thickTop="1" x14ac:dyDescent="0.25">
      <c r="B8" s="24" t="s">
        <v>10</v>
      </c>
      <c r="C8" s="25">
        <f>F7*H7</f>
        <v>2.606355333333334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tabSelected="1" workbookViewId="0">
      <selection activeCell="J4" sqref="J4"/>
    </sheetView>
  </sheetViews>
  <sheetFormatPr defaultRowHeight="15" x14ac:dyDescent="0.25"/>
  <sheetData>
    <row r="1" spans="1:7" x14ac:dyDescent="0.25">
      <c r="A1" s="26" t="s">
        <v>11</v>
      </c>
      <c r="B1" s="26" t="s">
        <v>12</v>
      </c>
      <c r="C1" s="26" t="s">
        <v>13</v>
      </c>
      <c r="D1" s="26" t="s">
        <v>14</v>
      </c>
      <c r="E1" s="26" t="s">
        <v>15</v>
      </c>
      <c r="F1" s="26" t="s">
        <v>16</v>
      </c>
      <c r="G1" s="26" t="s">
        <v>17</v>
      </c>
    </row>
    <row r="2" spans="1:7" x14ac:dyDescent="0.25">
      <c r="A2" s="27">
        <v>0</v>
      </c>
      <c r="B2" s="26">
        <v>0.4</v>
      </c>
      <c r="C2" s="28">
        <v>1.23</v>
      </c>
      <c r="D2" s="29">
        <f>C3-C2</f>
        <v>1.08</v>
      </c>
      <c r="E2" s="29">
        <f>D3-D2</f>
        <v>-0.58000000000000007</v>
      </c>
      <c r="F2" s="29">
        <f>E3-E2</f>
        <v>0.58000000000000007</v>
      </c>
      <c r="G2" s="31">
        <f>F3-F2</f>
        <v>-0.18000000000000016</v>
      </c>
    </row>
    <row r="3" spans="1:7" x14ac:dyDescent="0.25">
      <c r="A3" s="27">
        <v>1</v>
      </c>
      <c r="B3" s="26">
        <v>0.9</v>
      </c>
      <c r="C3" s="26">
        <v>2.31</v>
      </c>
      <c r="D3" s="17">
        <f t="shared" ref="D3:E5" si="0">C4-C3</f>
        <v>0.5</v>
      </c>
      <c r="E3" s="17">
        <f t="shared" si="0"/>
        <v>0</v>
      </c>
      <c r="F3" s="31">
        <f>E4-E3</f>
        <v>0.39999999999999991</v>
      </c>
      <c r="G3" s="26"/>
    </row>
    <row r="4" spans="1:7" x14ac:dyDescent="0.25">
      <c r="A4" s="27">
        <v>2</v>
      </c>
      <c r="B4" s="26">
        <v>1.4</v>
      </c>
      <c r="C4" s="26">
        <v>2.81</v>
      </c>
      <c r="D4" s="17">
        <f t="shared" si="0"/>
        <v>0.5</v>
      </c>
      <c r="E4" s="31">
        <f t="shared" si="0"/>
        <v>0.39999999999999991</v>
      </c>
      <c r="F4" s="26"/>
      <c r="G4" s="26"/>
    </row>
    <row r="5" spans="1:7" x14ac:dyDescent="0.25">
      <c r="A5" s="27">
        <v>3</v>
      </c>
      <c r="B5" s="26">
        <v>1.9</v>
      </c>
      <c r="C5" s="26">
        <v>3.31</v>
      </c>
      <c r="D5" s="31">
        <f t="shared" si="0"/>
        <v>0.89999999999999991</v>
      </c>
      <c r="E5" s="26"/>
      <c r="F5" s="26"/>
      <c r="G5" s="26"/>
    </row>
    <row r="6" spans="1:7" x14ac:dyDescent="0.25">
      <c r="A6" s="27">
        <v>4</v>
      </c>
      <c r="B6" s="26">
        <v>2.4</v>
      </c>
      <c r="C6" s="30">
        <v>4.21</v>
      </c>
      <c r="D6" s="26"/>
      <c r="E6" s="26"/>
      <c r="F6" s="26"/>
      <c r="G6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Лагранж</vt:lpstr>
      <vt:lpstr>Ньютон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0307</dc:creator>
  <cp:lastModifiedBy>Davudova Daria</cp:lastModifiedBy>
  <dcterms:created xsi:type="dcterms:W3CDTF">2025-11-13T05:43:38Z</dcterms:created>
  <dcterms:modified xsi:type="dcterms:W3CDTF">2025-12-05T23:22:57Z</dcterms:modified>
</cp:coreProperties>
</file>